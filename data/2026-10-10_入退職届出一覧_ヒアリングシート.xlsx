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172.30.27.4\共有\人事部\入退職確認表\"/>
    </mc:Choice>
  </mc:AlternateContent>
  <xr:revisionPtr revIDLastSave="0" documentId="13_ncr:1_{C60BA532-6AE8-4050-851B-112222099F4A}" xr6:coauthVersionLast="47" xr6:coauthVersionMax="47" xr10:uidLastSave="{00000000-0000-0000-0000-000000000000}"/>
  <bookViews>
    <workbookView xWindow="-28920" yWindow="960" windowWidth="29040" windowHeight="15720" activeTab="1" xr2:uid="{00000000-000D-0000-FFFF-FFFF00000000}"/>
  </bookViews>
  <sheets>
    <sheet name="使い方" sheetId="1" r:id="rId1"/>
    <sheet name="届出一覧" sheetId="2" r:id="rId2"/>
    <sheet name="届出先別集計" sheetId="3" r:id="rId3"/>
  </sheets>
  <definedNames>
    <definedName name="_xlnm._FilterDatabase" localSheetId="1" hidden="1">届出一覧!$A$4:$N$29</definedName>
    <definedName name="_xlnm.Print_Titles" localSheetId="1">届出一覧!$4:$4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2" l="1"/>
  <c r="E12" i="3"/>
  <c r="C12" i="3"/>
  <c r="B12" i="3"/>
  <c r="E11" i="3"/>
  <c r="C11" i="3"/>
  <c r="B11" i="3"/>
  <c r="E10" i="3"/>
  <c r="D10" i="3"/>
  <c r="C10" i="3"/>
  <c r="B10" i="3"/>
  <c r="E9" i="3"/>
  <c r="D9" i="3"/>
  <c r="C9" i="3"/>
  <c r="B9" i="3"/>
  <c r="E8" i="3"/>
  <c r="D8" i="3"/>
  <c r="C8" i="3"/>
  <c r="B8" i="3"/>
  <c r="E7" i="3"/>
  <c r="D7" i="3"/>
  <c r="C7" i="3"/>
  <c r="B7" i="3"/>
  <c r="E6" i="3"/>
  <c r="D6" i="3"/>
  <c r="C6" i="3"/>
  <c r="B6" i="3"/>
  <c r="E5" i="3"/>
  <c r="D5" i="3"/>
  <c r="C5" i="3"/>
  <c r="B5" i="3"/>
  <c r="E4" i="3"/>
  <c r="E13" i="3" s="1"/>
  <c r="D4" i="3"/>
  <c r="C4" i="3"/>
  <c r="C13" i="3" s="1"/>
  <c r="B4" i="3"/>
  <c r="B13" i="3" s="1"/>
  <c r="H30" i="2"/>
  <c r="J29" i="2"/>
  <c r="D12" i="3" s="1"/>
  <c r="J28" i="2"/>
  <c r="D11" i="3" s="1"/>
  <c r="J27" i="2"/>
  <c r="J26" i="2"/>
  <c r="J25" i="2"/>
  <c r="J24" i="2"/>
  <c r="J23" i="2"/>
  <c r="J22" i="2"/>
  <c r="J21" i="2"/>
  <c r="J20" i="2"/>
  <c r="J19" i="2"/>
  <c r="J18" i="2"/>
  <c r="J17" i="2"/>
  <c r="J16" i="2"/>
  <c r="J15" i="2"/>
  <c r="J14" i="2"/>
  <c r="J13" i="2"/>
  <c r="J12" i="2"/>
  <c r="J11" i="2"/>
  <c r="J10" i="2"/>
  <c r="J8" i="2"/>
  <c r="J7" i="2"/>
  <c r="J6" i="2"/>
  <c r="J5" i="2"/>
  <c r="J30" i="2" l="1"/>
  <c r="D13" i="3"/>
</calcChain>
</file>

<file path=xl/sharedStrings.xml><?xml version="1.0" encoding="utf-8"?>
<sst xmlns="http://schemas.openxmlformats.org/spreadsheetml/2006/main" count="245" uniqueCount="157">
  <si>
    <t>職員の採用・退職に伴う届出一覧（ヒアリング用）</t>
  </si>
  <si>
    <t>黄色の列＝ご記入欄　／　緑色の列＝自動計算</t>
  </si>
  <si>
    <t>No</t>
  </si>
  <si>
    <t>届出先</t>
  </si>
  <si>
    <t>場面</t>
  </si>
  <si>
    <t>届出名</t>
  </si>
  <si>
    <t>期限</t>
  </si>
  <si>
    <t>対象・備考</t>
  </si>
  <si>
    <t>現在の提出方法</t>
  </si>
  <si>
    <t>年間件数</t>
  </si>
  <si>
    <t>1件あたり作業時間（分）</t>
  </si>
  <si>
    <t>年間作業時間（時間）</t>
  </si>
  <si>
    <t>困っている点・手間がかかる点</t>
  </si>
  <si>
    <t>改善の優先度</t>
  </si>
  <si>
    <t>スクリプト化判定（仮）</t>
  </si>
  <si>
    <t>判定理由</t>
  </si>
  <si>
    <t>年金事務所・協会けんぽ</t>
  </si>
  <si>
    <t>採用</t>
  </si>
  <si>
    <t>健康保険・厚生年金保険 被保険者資格取得届</t>
  </si>
  <si>
    <t>事実発生から5日以内</t>
  </si>
  <si>
    <t>全ての社保加入者</t>
  </si>
  <si>
    <t>◎</t>
  </si>
  <si>
    <t>年金機構「届書作成プログラム」用CSVの仕様が公開されている。台帳から自動作成し電子申請可能</t>
  </si>
  <si>
    <t>被扶養者（異動）届／国民年金第3号被保険者関係届</t>
  </si>
  <si>
    <t>扶養家族がいる場合</t>
  </si>
  <si>
    <t>○</t>
  </si>
  <si>
    <t>取得届と同じデータで作成可。続柄・収入等の確認は人が行う</t>
  </si>
  <si>
    <t>採用・退職</t>
  </si>
  <si>
    <t>70歳以上被用者 該当届／不該当届</t>
  </si>
  <si>
    <t>70歳以上の職員</t>
  </si>
  <si>
    <t>取得届・喪失届と同時に自動判定・作成できる</t>
  </si>
  <si>
    <t>退職</t>
  </si>
  <si>
    <t>健康保険・厚生年金保険 被保険者資格喪失届</t>
  </si>
  <si>
    <t>取得届と同様。退職日を入れるだけで作成可能</t>
  </si>
  <si>
    <t>ハローワーク</t>
  </si>
  <si>
    <t>雇用保険被保険者資格取得届</t>
  </si>
  <si>
    <t>翌月10日</t>
  </si>
  <si>
    <t>週20時間以上の職員</t>
  </si>
  <si>
    <t>社保と共通データで作成可。届書作成プログラム／e-Govで提出</t>
  </si>
  <si>
    <t>雇用保険被保険者資格喪失届</t>
  </si>
  <si>
    <t>退職翌日から10日以内</t>
  </si>
  <si>
    <t>雇用保険加入者</t>
  </si>
  <si>
    <t>取得届と同様</t>
  </si>
  <si>
    <t>雇用保険被保険者離職証明書</t>
  </si>
  <si>
    <t>喪失届と同時</t>
  </si>
  <si>
    <t>本人希望時／59歳以上は必須</t>
  </si>
  <si>
    <t>直近12か月の賃金欄をMJS給与データから自動集計可。離職理由・最終確認は人</t>
  </si>
  <si>
    <t>外国人雇用状況届出</t>
  </si>
  <si>
    <t>雇保加入者:取得・喪失届と同時／非加入者:翌月末日</t>
  </si>
  <si>
    <t>外国人職員（特別永住者除く）</t>
  </si>
  <si>
    <t>現在開発中のツールの対象。雇保届出と連動させると二度手間がなくなる</t>
  </si>
  <si>
    <t>障害者解雇届／多数離職届</t>
  </si>
  <si>
    <t>遅滞なく</t>
  </si>
  <si>
    <t>障害者の解雇時／1か月30人以上の離職時</t>
  </si>
  <si>
    <t>×</t>
  </si>
  <si>
    <t>発生がまれ。チェックリストで漏れ防止のみ</t>
  </si>
  <si>
    <t>出入国在留管理局</t>
  </si>
  <si>
    <t>特定技能雇用契約に係る届出（締結・変更・終了）</t>
  </si>
  <si>
    <t>14日以内</t>
  </si>
  <si>
    <t>特定技能外国人</t>
  </si>
  <si>
    <t>参考様式（Excel）への自動転記が可能。件数次第</t>
  </si>
  <si>
    <t>受入れ困難に係る届出／支援計画変更届</t>
  </si>
  <si>
    <t>△</t>
  </si>
  <si>
    <t>理由記載など判断を伴う部分が多い</t>
  </si>
  <si>
    <t>定期</t>
  </si>
  <si>
    <t>受入れ・活動状況に関する届出</t>
  </si>
  <si>
    <t>年1回（2025年4月～）</t>
  </si>
  <si>
    <t>台帳から在籍者・報酬を集計して転記可能</t>
  </si>
  <si>
    <t>中長期在留者の受入れに関する届出</t>
  </si>
  <si>
    <t>14日以内（努力義務）</t>
  </si>
  <si>
    <t>技人国等。外国人雇用状況届出を出していれば不要</t>
  </si>
  <si>
    <t>通常は外国人雇用状況届出で代替されるため対象外</t>
  </si>
  <si>
    <t>市町村（住民税）</t>
  </si>
  <si>
    <t>特別徴収への切替届出（前職からの引継ぎ含む）</t>
  </si>
  <si>
    <t>随時</t>
  </si>
  <si>
    <t>中途採用者で前職が特別徴収の場合等</t>
  </si>
  <si>
    <t>住所地の市町村別に自動振分け作成可能</t>
  </si>
  <si>
    <t>給与所得者異動届出書</t>
  </si>
  <si>
    <t>特別徴収の職員</t>
  </si>
  <si>
    <t>市町村別に自動作成可。eLTAX提出にも対応可能。780名規模では効果大</t>
  </si>
  <si>
    <t>福祉医療機構（WAM）</t>
  </si>
  <si>
    <t>社会福祉施設職員等退職手当共済 加入届／退職届</t>
  </si>
  <si>
    <t>共済規程で要確認</t>
  </si>
  <si>
    <t>共済対象職員</t>
  </si>
  <si>
    <t>WAM NET電子届出（Web画面入力）のため、転記用一覧の作成支援が中心</t>
  </si>
  <si>
    <t>退職手当金請求書</t>
  </si>
  <si>
    <t>退職後</t>
  </si>
  <si>
    <t>共済加入期間1年以上の退職者</t>
  </si>
  <si>
    <t>本人記入が主。法人証明欄の事前印字程度</t>
  </si>
  <si>
    <t>県社協・福利厚生団体</t>
  </si>
  <si>
    <t>県民間退職共済／ソウェルクラブ等の加入・脱退届</t>
  </si>
  <si>
    <t>各団体の規程による</t>
  </si>
  <si>
    <t>加入している場合のみ</t>
  </si>
  <si>
    <t>様式次第。ヒアリングで加入状況を確認</t>
  </si>
  <si>
    <t>指定権者（県・市町村 介護保険／障害福祉）</t>
  </si>
  <si>
    <t>変更届（管理者・サビ管・サ責・介護支援専門員等の交代）</t>
  </si>
  <si>
    <t>10日以内</t>
  </si>
  <si>
    <t>人員基準上の役職者</t>
  </si>
  <si>
    <t>自治体ごとに様式が異なり件数も少ない。チェックリストで漏れ防止</t>
  </si>
  <si>
    <t>体制届（人員変動で加算要件が変わる場合）</t>
  </si>
  <si>
    <t>算定月の前月15日等</t>
  </si>
  <si>
    <t>加算算定事業所</t>
  </si>
  <si>
    <t>判断を伴う。チェックリストで漏れ防止</t>
  </si>
  <si>
    <t>本人交付・法人保管（参考）</t>
  </si>
  <si>
    <t>扶養控除等申告書（保管）</t>
  </si>
  <si>
    <t>初回給与支払まで</t>
  </si>
  <si>
    <t>全職員</t>
  </si>
  <si>
    <t>－</t>
  </si>
  <si>
    <t>届出ではないが作業が発生</t>
  </si>
  <si>
    <t>給与所得の源泉徴収票（本人交付）</t>
  </si>
  <si>
    <t>退職後1か月以内</t>
  </si>
  <si>
    <t>全退職者</t>
  </si>
  <si>
    <t>給与システムから出力済みなら対象外</t>
  </si>
  <si>
    <t>退職所得の源泉徴収票／退職所得の受給に関する申告書</t>
  </si>
  <si>
    <t>退職金支給者</t>
  </si>
  <si>
    <t>給与システムの機能を確認</t>
  </si>
  <si>
    <t>退職証明書</t>
  </si>
  <si>
    <t>請求があれば遅滞なく</t>
  </si>
  <si>
    <t>請求者</t>
  </si>
  <si>
    <t>台帳から定型文書を自動作成可能</t>
  </si>
  <si>
    <t>（横断）</t>
  </si>
  <si>
    <t>【新規】届出チェックリスト自動生成</t>
  </si>
  <si>
    <t>入退職者全員</t>
  </si>
  <si>
    <t>入職/退職・国籍・扶養・役職を入れると必要な届出と期限を一覧化。最も簡単で漏れ防止効果大</t>
  </si>
  <si>
    <t>合計</t>
  </si>
  <si>
    <t>職員の採用・退職に伴う届出 ヒアリングシート</t>
  </si>
  <si>
    <t>作成日：2026-10-10　　目的：届出担当者の事務負担軽減（スクリプト化の対象選定）</t>
  </si>
  <si>
    <t>■ お願いしたいこと</t>
  </si>
  <si>
    <t>「届出一覧」シートの黄色の列にご記入ください（分かる範囲で結構です）。</t>
  </si>
  <si>
    <t>　1. 現在の提出方法（プルダウン選択）</t>
  </si>
  <si>
    <t>　2. 年間件数（おおよそで可）</t>
  </si>
  <si>
    <t>　3. 1件あたりの作業時間（分。準備・転記・確認・提出までの合計）</t>
  </si>
  <si>
    <t>　4. 困っている点・手間がかかる点（自由記入）</t>
  </si>
  <si>
    <t>　5. 改善の優先度（高・中・低）</t>
  </si>
  <si>
    <t>※ 緑色の「年間作業時間」は自動計算されます（Excelで開くと計算されます）。</t>
  </si>
  <si>
    <t>※ 一覧に載っていない届出・作業があれば、表の下の空欄行に追記してください。</t>
  </si>
  <si>
    <t>※ 対象外（当法人では発生しない）の届出は、提出方法で「該当なし」を選んでください。</t>
  </si>
  <si>
    <t>■ スクリプト化判定の見方（事務局による仮判定）</t>
  </si>
  <si>
    <t>◎ 効果大：共通データから自動作成でき、件数も多い</t>
  </si>
  <si>
    <t>○ 可能：自動作成・自動転記ができる（件数次第で優先度を判断）</t>
  </si>
  <si>
    <t>△ 一部可能：転記用一覧の作成など補助にとどまる</t>
  </si>
  <si>
    <t>× 対象外：件数が少ない・判断を伴う。チェックリストで漏れ防止のみ</t>
  </si>
  <si>
    <t>■ 前提・確認事項</t>
  </si>
  <si>
    <t>・電子申請の「送信」は担当者が行い、スクリプトは提出用ファイルの作成までを想定しています。</t>
  </si>
  <si>
    <t>・MJS給与システムに届出作成機能があれば、そちらを優先して活用します。</t>
  </si>
  <si>
    <t>・マイナンバーを扱う届出は、保存場所とアクセス権限を事前に決めてから着手します。</t>
  </si>
  <si>
    <t>・期限等は2026年10月時点の一般的な内容です。最新の様式・期限は各提出先で確認してください。</t>
  </si>
  <si>
    <t>届出先別の集計（ヒアリング記入後に自動計算）</t>
  </si>
  <si>
    <t>届出数</t>
  </si>
  <si>
    <t>年間件数 計</t>
  </si>
  <si>
    <t>年間作業時間 計（時間）</t>
  </si>
  <si>
    <t>◎・○ の届出数</t>
  </si>
  <si>
    <t>紙（窓口・郵送）</t>
  </si>
  <si>
    <t>ハローワークインターネットサービスで内容を入力して印刷できる（届出作成プログラム）。個人番号は印刷してから手書きにて記入。</t>
    <rPh sb="18" eb="20">
      <t>ナイヨウ</t>
    </rPh>
    <rPh sb="21" eb="23">
      <t>ニュウリョク</t>
    </rPh>
    <rPh sb="25" eb="27">
      <t>インサツ</t>
    </rPh>
    <rPh sb="31" eb="33">
      <t>トドケデ</t>
    </rPh>
    <rPh sb="33" eb="35">
      <t>サクセイ</t>
    </rPh>
    <rPh sb="42" eb="46">
      <t>コジンバンゴウ</t>
    </rPh>
    <rPh sb="47" eb="49">
      <t>インサツ</t>
    </rPh>
    <rPh sb="53" eb="55">
      <t>テガ</t>
    </rPh>
    <rPh sb="58" eb="60">
      <t>キニュウ</t>
    </rPh>
    <phoneticPr fontId="9"/>
  </si>
  <si>
    <t>届出作成後、目視での確認のため記載漏れが発見しにくい。選択式または雇用保険資格取得届のように入力チェック機能があるとよい。</t>
    <rPh sb="0" eb="2">
      <t>トドケデ</t>
    </rPh>
    <rPh sb="2" eb="5">
      <t>サクセイゴ</t>
    </rPh>
    <rPh sb="6" eb="8">
      <t>モクシ</t>
    </rPh>
    <rPh sb="10" eb="12">
      <t>カクニン</t>
    </rPh>
    <rPh sb="15" eb="17">
      <t>キサイ</t>
    </rPh>
    <rPh sb="17" eb="18">
      <t>モ</t>
    </rPh>
    <rPh sb="20" eb="22">
      <t>ハッケン</t>
    </rPh>
    <rPh sb="27" eb="30">
      <t>センタクシキ</t>
    </rPh>
    <rPh sb="33" eb="37">
      <t>コヨウホケン</t>
    </rPh>
    <rPh sb="37" eb="41">
      <t>シカクシュトク</t>
    </rPh>
    <rPh sb="41" eb="42">
      <t>トドケ</t>
    </rPh>
    <rPh sb="46" eb="48">
      <t>ニュウリョク</t>
    </rPh>
    <rPh sb="52" eb="54">
      <t>キノウ</t>
    </rPh>
    <phoneticPr fontId="9"/>
  </si>
  <si>
    <t>市町村によって様式が異なる。（手書きのみの市町村も）</t>
    <rPh sb="0" eb="3">
      <t>シチョウソン</t>
    </rPh>
    <rPh sb="7" eb="9">
      <t>ヨウシキ</t>
    </rPh>
    <rPh sb="10" eb="11">
      <t>コト</t>
    </rPh>
    <rPh sb="15" eb="17">
      <t>テガ</t>
    </rPh>
    <rPh sb="21" eb="24">
      <t>シチョウソン</t>
    </rPh>
    <phoneticPr fontId="9"/>
  </si>
  <si>
    <t>手書きのみ</t>
    <rPh sb="0" eb="2">
      <t>テガ</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</si>
</sst>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0" x14ac:knownFonts="1">
    <font>
      <sz val="11"/>
      <color theme="1"/>
      <name val="ＭＳ Ｐゴシック"/>
      <family val="2"/>
      <scheme val="minor"/>
    </font>
    <font>
      <b/>
      <sz val="14"/>
      <color rgb="FF1F4E78"/>
      <name val="游ゴシック"/>
      <family val="3"/>
      <charset val="128"/>
    </font>
    <font>
      <sz val="10"/>
      <color rgb="FF000000"/>
      <name val="游ゴシック"/>
      <family val="3"/>
      <charset val="128"/>
    </font>
    <font>
      <b/>
      <sz val="11"/>
      <color rgb="FF000000"/>
      <name val="游ゴシック"/>
      <family val="3"/>
      <charset val="128"/>
    </font>
    <font>
      <b/>
      <sz val="13"/>
      <color rgb="FF1F4E78"/>
      <name val="游ゴシック"/>
      <family val="3"/>
      <charset val="128"/>
    </font>
    <font>
      <sz val="9"/>
      <color rgb="FF595959"/>
      <name val="游ゴシック"/>
      <family val="3"/>
      <charset val="128"/>
    </font>
    <font>
      <b/>
      <sz val="10"/>
      <color rgb="FFFFFFFF"/>
      <name val="游ゴシック"/>
      <family val="3"/>
      <charset val="128"/>
    </font>
    <font>
      <b/>
      <sz val="12"/>
      <color rgb="FF000000"/>
      <name val="游ゴシック"/>
      <family val="3"/>
      <charset val="128"/>
    </font>
    <font>
      <b/>
      <sz val="10"/>
      <color rgb="FF000000"/>
      <name val="游ゴシック"/>
      <family val="3"/>
      <charset val="128"/>
    </font>
    <font>
      <sz val="6"/>
      <name val="ＭＳ Ｐゴシック"/>
      <family val="3"/>
      <charset val="128"/>
      <scheme val="minor"/>
    </font>
  </fonts>
  <fills count="10">
    <fill>
      <patternFill patternType="none"/>
    </fill>
    <fill>
      <patternFill patternType="gray125"/>
    </fill>
    <fill>
      <patternFill patternType="solid">
        <fgColor rgb="FF1F4E78"/>
      </patternFill>
    </fill>
    <fill>
      <patternFill patternType="solid">
        <fgColor rgb="FFFFF2CC"/>
      </patternFill>
    </fill>
    <fill>
      <patternFill patternType="solid">
        <fgColor rgb="FFE2EFDA"/>
      </patternFill>
    </fill>
    <fill>
      <patternFill patternType="solid">
        <fgColor rgb="FFC6EFCE"/>
      </patternFill>
    </fill>
    <fill>
      <patternFill patternType="solid">
        <fgColor rgb="FFDDEBF7"/>
      </patternFill>
    </fill>
    <fill>
      <patternFill patternType="solid">
        <fgColor rgb="FFEDEDED"/>
      </patternFill>
    </fill>
    <fill>
      <patternFill patternType="solid">
        <fgColor rgb="FFFCE4D6"/>
      </patternFill>
    </fill>
    <fill>
      <patternFill patternType="solid">
        <fgColor rgb="FFFFFFFF"/>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7">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4" fillId="0" borderId="0" xfId="0" applyFont="1"/>
    <xf numFmtId="0" fontId="5" fillId="0" borderId="0" xfId="0" applyFont="1"/>
    <xf numFmtId="0" fontId="6"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3" borderId="1" xfId="0"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0" fontId="2" fillId="3"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0" fillId="0" borderId="1" xfId="0" applyBorder="1"/>
    <xf numFmtId="0" fontId="8" fillId="0" borderId="1" xfId="0" applyFont="1" applyBorder="1"/>
    <xf numFmtId="1" fontId="8" fillId="4" borderId="1" xfId="0" applyNumberFormat="1" applyFont="1" applyFill="1" applyBorder="1" applyAlignment="1">
      <alignment horizontal="center"/>
    </xf>
    <xf numFmtId="176" fontId="8" fillId="4" borderId="1" xfId="0" applyNumberFormat="1" applyFont="1" applyFill="1" applyBorder="1" applyAlignment="1">
      <alignment horizont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176" fontId="2" fillId="0" borderId="1" xfId="0" applyNumberFormat="1" applyFont="1" applyBorder="1" applyAlignment="1">
      <alignment horizontal="center" vertical="center"/>
    </xf>
    <xf numFmtId="0" fontId="8" fillId="4" borderId="1" xfId="0" applyFont="1" applyFill="1" applyBorder="1"/>
    <xf numFmtId="0" fontId="8" fillId="4" borderId="1" xfId="0" applyFont="1" applyFill="1" applyBorder="1" applyAlignment="1">
      <alignment horizont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6"/>
  <sheetViews>
    <sheetView showGridLines="0" workbookViewId="0"/>
  </sheetViews>
  <sheetFormatPr defaultRowHeight="13.2" x14ac:dyDescent="0.2"/>
  <cols>
    <col min="1" max="1" width="3" customWidth="1"/>
    <col min="2" max="2" width="100" customWidth="1"/>
  </cols>
  <sheetData>
    <row r="2" spans="2:2" ht="22.2" x14ac:dyDescent="0.2">
      <c r="B2" s="1" t="s">
        <v>125</v>
      </c>
    </row>
    <row r="3" spans="2:2" ht="16.2" x14ac:dyDescent="0.2">
      <c r="B3" s="2" t="s">
        <v>126</v>
      </c>
    </row>
    <row r="4" spans="2:2" x14ac:dyDescent="0.2">
      <c r="B4" s="3"/>
    </row>
    <row r="5" spans="2:2" ht="18" x14ac:dyDescent="0.2">
      <c r="B5" s="4" t="s">
        <v>127</v>
      </c>
    </row>
    <row r="6" spans="2:2" ht="16.2" x14ac:dyDescent="0.2">
      <c r="B6" s="2" t="s">
        <v>128</v>
      </c>
    </row>
    <row r="7" spans="2:2" ht="16.2" x14ac:dyDescent="0.2">
      <c r="B7" s="2" t="s">
        <v>129</v>
      </c>
    </row>
    <row r="8" spans="2:2" ht="16.2" x14ac:dyDescent="0.2">
      <c r="B8" s="2" t="s">
        <v>130</v>
      </c>
    </row>
    <row r="9" spans="2:2" ht="16.2" x14ac:dyDescent="0.2">
      <c r="B9" s="2" t="s">
        <v>131</v>
      </c>
    </row>
    <row r="10" spans="2:2" ht="16.2" x14ac:dyDescent="0.2">
      <c r="B10" s="2" t="s">
        <v>132</v>
      </c>
    </row>
    <row r="11" spans="2:2" ht="16.2" x14ac:dyDescent="0.2">
      <c r="B11" s="2" t="s">
        <v>133</v>
      </c>
    </row>
    <row r="12" spans="2:2" ht="16.2" x14ac:dyDescent="0.2">
      <c r="B12" s="2" t="s">
        <v>134</v>
      </c>
    </row>
    <row r="13" spans="2:2" ht="16.2" x14ac:dyDescent="0.2">
      <c r="B13" s="2" t="s">
        <v>135</v>
      </c>
    </row>
    <row r="14" spans="2:2" ht="16.2" x14ac:dyDescent="0.2">
      <c r="B14" s="2" t="s">
        <v>136</v>
      </c>
    </row>
    <row r="15" spans="2:2" x14ac:dyDescent="0.2">
      <c r="B15" s="3"/>
    </row>
    <row r="16" spans="2:2" ht="18" x14ac:dyDescent="0.2">
      <c r="B16" s="4" t="s">
        <v>137</v>
      </c>
    </row>
    <row r="17" spans="2:2" ht="16.2" x14ac:dyDescent="0.2">
      <c r="B17" s="2" t="s">
        <v>138</v>
      </c>
    </row>
    <row r="18" spans="2:2" ht="16.2" x14ac:dyDescent="0.2">
      <c r="B18" s="2" t="s">
        <v>139</v>
      </c>
    </row>
    <row r="19" spans="2:2" ht="16.2" x14ac:dyDescent="0.2">
      <c r="B19" s="2" t="s">
        <v>140</v>
      </c>
    </row>
    <row r="20" spans="2:2" ht="16.2" x14ac:dyDescent="0.2">
      <c r="B20" s="2" t="s">
        <v>141</v>
      </c>
    </row>
    <row r="21" spans="2:2" x14ac:dyDescent="0.2">
      <c r="B21" s="3"/>
    </row>
    <row r="22" spans="2:2" ht="18" x14ac:dyDescent="0.2">
      <c r="B22" s="4" t="s">
        <v>142</v>
      </c>
    </row>
    <row r="23" spans="2:2" ht="16.2" x14ac:dyDescent="0.2">
      <c r="B23" s="2" t="s">
        <v>143</v>
      </c>
    </row>
    <row r="24" spans="2:2" ht="16.2" x14ac:dyDescent="0.2">
      <c r="B24" s="2" t="s">
        <v>144</v>
      </c>
    </row>
    <row r="25" spans="2:2" ht="16.2" x14ac:dyDescent="0.2">
      <c r="B25" s="2" t="s">
        <v>145</v>
      </c>
    </row>
    <row r="26" spans="2:2" ht="16.2" x14ac:dyDescent="0.2">
      <c r="B26" s="2" t="s">
        <v>146</v>
      </c>
    </row>
  </sheetData>
  <phoneticPr fontId="9"/>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30"/>
  <sheetViews>
    <sheetView tabSelected="1" workbookViewId="0">
      <pane xSplit="4" ySplit="4" topLeftCell="E24" activePane="bottomRight" state="frozen"/>
      <selection pane="topRight"/>
      <selection pane="bottomLeft"/>
      <selection pane="bottomRight" activeCell="B39" sqref="B39"/>
    </sheetView>
  </sheetViews>
  <sheetFormatPr defaultRowHeight="13.2" x14ac:dyDescent="0.2"/>
  <cols>
    <col min="1" max="1" width="5" customWidth="1"/>
    <col min="2" max="2" width="22" customWidth="1"/>
    <col min="3" max="3" width="10" customWidth="1"/>
    <col min="4" max="4" width="40" customWidth="1"/>
    <col min="5" max="5" width="22" customWidth="1"/>
    <col min="6" max="6" width="26" customWidth="1"/>
    <col min="7" max="7" width="14" customWidth="1"/>
    <col min="8" max="8" width="10" customWidth="1"/>
    <col min="9" max="10" width="12" customWidth="1"/>
    <col min="11" max="11" width="36" customWidth="1"/>
    <col min="12" max="13" width="10" customWidth="1"/>
    <col min="14" max="14" width="46" customWidth="1"/>
  </cols>
  <sheetData>
    <row r="1" spans="1:14" ht="21.6" x14ac:dyDescent="0.55000000000000004">
      <c r="A1" s="5" t="s">
        <v>0</v>
      </c>
    </row>
    <row r="2" spans="1:14" ht="15.6" x14ac:dyDescent="0.4">
      <c r="A2" s="6" t="s">
        <v>1</v>
      </c>
    </row>
    <row r="4" spans="1:14" ht="31.95" customHeight="1" x14ac:dyDescent="0.2">
      <c r="A4" s="7" t="s">
        <v>2</v>
      </c>
      <c r="B4" s="7" t="s">
        <v>3</v>
      </c>
      <c r="C4" s="7" t="s">
        <v>4</v>
      </c>
      <c r="D4" s="7" t="s">
        <v>5</v>
      </c>
      <c r="E4" s="7" t="s">
        <v>6</v>
      </c>
      <c r="F4" s="7" t="s">
        <v>7</v>
      </c>
      <c r="G4" s="7" t="s">
        <v>8</v>
      </c>
      <c r="H4" s="7" t="s">
        <v>9</v>
      </c>
      <c r="I4" s="7" t="s">
        <v>10</v>
      </c>
      <c r="J4" s="7" t="s">
        <v>11</v>
      </c>
      <c r="K4" s="7" t="s">
        <v>12</v>
      </c>
      <c r="L4" s="7" t="s">
        <v>13</v>
      </c>
      <c r="M4" s="7" t="s">
        <v>14</v>
      </c>
      <c r="N4" s="7" t="s">
        <v>15</v>
      </c>
    </row>
    <row r="5" spans="1:14" ht="64.8" customHeight="1" x14ac:dyDescent="0.2">
      <c r="A5" s="8">
        <v>1</v>
      </c>
      <c r="B5" s="9" t="s">
        <v>16</v>
      </c>
      <c r="C5" s="8" t="s">
        <v>17</v>
      </c>
      <c r="D5" s="9" t="s">
        <v>18</v>
      </c>
      <c r="E5" s="9" t="s">
        <v>19</v>
      </c>
      <c r="F5" s="9" t="s">
        <v>20</v>
      </c>
      <c r="G5" s="10" t="s">
        <v>152</v>
      </c>
      <c r="H5" s="10"/>
      <c r="I5" s="10">
        <v>15</v>
      </c>
      <c r="J5" s="11" t="str">
        <f t="shared" ref="J5:J29" si="0">IF(AND(H5&gt;0,I5&gt;0),ROUND(H5*I5/60,1),"")</f>
        <v/>
      </c>
      <c r="K5" s="12" t="s">
        <v>154</v>
      </c>
      <c r="L5" s="10"/>
      <c r="M5" s="13" t="s">
        <v>21</v>
      </c>
      <c r="N5" s="9" t="s">
        <v>22</v>
      </c>
    </row>
    <row r="6" spans="1:14" ht="36" customHeight="1" x14ac:dyDescent="0.2">
      <c r="A6" s="8">
        <v>2</v>
      </c>
      <c r="B6" s="9" t="s">
        <v>16</v>
      </c>
      <c r="C6" s="8" t="s">
        <v>17</v>
      </c>
      <c r="D6" s="9" t="s">
        <v>23</v>
      </c>
      <c r="E6" s="9" t="s">
        <v>19</v>
      </c>
      <c r="F6" s="9" t="s">
        <v>24</v>
      </c>
      <c r="G6" s="10" t="s">
        <v>152</v>
      </c>
      <c r="H6" s="10"/>
      <c r="I6" s="10">
        <v>20</v>
      </c>
      <c r="J6" s="11" t="str">
        <f t="shared" si="0"/>
        <v/>
      </c>
      <c r="K6" s="12"/>
      <c r="L6" s="10"/>
      <c r="M6" s="14" t="s">
        <v>25</v>
      </c>
      <c r="N6" s="9" t="s">
        <v>26</v>
      </c>
    </row>
    <row r="7" spans="1:14" ht="36" customHeight="1" x14ac:dyDescent="0.2">
      <c r="A7" s="8">
        <v>3</v>
      </c>
      <c r="B7" s="9" t="s">
        <v>16</v>
      </c>
      <c r="C7" s="8" t="s">
        <v>27</v>
      </c>
      <c r="D7" s="9" t="s">
        <v>28</v>
      </c>
      <c r="E7" s="9" t="s">
        <v>19</v>
      </c>
      <c r="F7" s="9" t="s">
        <v>29</v>
      </c>
      <c r="G7" s="10" t="s">
        <v>152</v>
      </c>
      <c r="H7" s="10"/>
      <c r="I7" s="10"/>
      <c r="J7" s="11" t="str">
        <f t="shared" si="0"/>
        <v/>
      </c>
      <c r="K7" s="12"/>
      <c r="L7" s="10"/>
      <c r="M7" s="14" t="s">
        <v>25</v>
      </c>
      <c r="N7" s="9" t="s">
        <v>30</v>
      </c>
    </row>
    <row r="8" spans="1:14" ht="36" customHeight="1" x14ac:dyDescent="0.2">
      <c r="A8" s="8">
        <v>4</v>
      </c>
      <c r="B8" s="9" t="s">
        <v>16</v>
      </c>
      <c r="C8" s="8" t="s">
        <v>31</v>
      </c>
      <c r="D8" s="9" t="s">
        <v>32</v>
      </c>
      <c r="E8" s="9" t="s">
        <v>19</v>
      </c>
      <c r="F8" s="9" t="s">
        <v>20</v>
      </c>
      <c r="G8" s="10" t="s">
        <v>152</v>
      </c>
      <c r="H8" s="10"/>
      <c r="I8" s="10">
        <v>15</v>
      </c>
      <c r="J8" s="11" t="str">
        <f t="shared" si="0"/>
        <v/>
      </c>
      <c r="K8" s="12"/>
      <c r="L8" s="10"/>
      <c r="M8" s="13" t="s">
        <v>21</v>
      </c>
      <c r="N8" s="9" t="s">
        <v>33</v>
      </c>
    </row>
    <row r="9" spans="1:14" ht="74.400000000000006" customHeight="1" x14ac:dyDescent="0.2">
      <c r="A9" s="8">
        <v>5</v>
      </c>
      <c r="B9" s="9" t="s">
        <v>34</v>
      </c>
      <c r="C9" s="8" t="s">
        <v>17</v>
      </c>
      <c r="D9" s="9" t="s">
        <v>35</v>
      </c>
      <c r="E9" s="9" t="s">
        <v>36</v>
      </c>
      <c r="F9" s="9" t="s">
        <v>37</v>
      </c>
      <c r="G9" s="10" t="s">
        <v>152</v>
      </c>
      <c r="H9" s="10"/>
      <c r="I9" s="10">
        <v>15</v>
      </c>
      <c r="J9" s="11" t="str">
        <f>IF(AND(H9&gt;0,I9&gt;0),ROUND(H9*I9/60,1),"")</f>
        <v/>
      </c>
      <c r="K9" s="12" t="s">
        <v>153</v>
      </c>
      <c r="L9" s="10"/>
      <c r="M9" s="13" t="s">
        <v>21</v>
      </c>
      <c r="N9" s="9" t="s">
        <v>38</v>
      </c>
    </row>
    <row r="10" spans="1:14" ht="36" customHeight="1" x14ac:dyDescent="0.2">
      <c r="A10" s="8">
        <v>6</v>
      </c>
      <c r="B10" s="9" t="s">
        <v>34</v>
      </c>
      <c r="C10" s="8" t="s">
        <v>31</v>
      </c>
      <c r="D10" s="9" t="s">
        <v>39</v>
      </c>
      <c r="E10" s="9" t="s">
        <v>40</v>
      </c>
      <c r="F10" s="9" t="s">
        <v>41</v>
      </c>
      <c r="G10" s="10" t="s">
        <v>152</v>
      </c>
      <c r="H10" s="10"/>
      <c r="I10" s="10">
        <v>10</v>
      </c>
      <c r="J10" s="11" t="str">
        <f t="shared" si="0"/>
        <v/>
      </c>
      <c r="K10" s="12"/>
      <c r="L10" s="10"/>
      <c r="M10" s="13" t="s">
        <v>21</v>
      </c>
      <c r="N10" s="9" t="s">
        <v>42</v>
      </c>
    </row>
    <row r="11" spans="1:14" ht="36" customHeight="1" x14ac:dyDescent="0.2">
      <c r="A11" s="8">
        <v>7</v>
      </c>
      <c r="B11" s="9" t="s">
        <v>34</v>
      </c>
      <c r="C11" s="8" t="s">
        <v>31</v>
      </c>
      <c r="D11" s="9" t="s">
        <v>43</v>
      </c>
      <c r="E11" s="9" t="s">
        <v>44</v>
      </c>
      <c r="F11" s="9" t="s">
        <v>45</v>
      </c>
      <c r="G11" s="10" t="s">
        <v>152</v>
      </c>
      <c r="H11" s="10"/>
      <c r="I11" s="10">
        <v>30</v>
      </c>
      <c r="J11" s="11" t="str">
        <f t="shared" si="0"/>
        <v/>
      </c>
      <c r="K11" s="12" t="s">
        <v>156</v>
      </c>
      <c r="L11" s="10"/>
      <c r="M11" s="14" t="s">
        <v>25</v>
      </c>
      <c r="N11" s="9" t="s">
        <v>46</v>
      </c>
    </row>
    <row r="12" spans="1:14" ht="36" customHeight="1" x14ac:dyDescent="0.2">
      <c r="A12" s="8">
        <v>8</v>
      </c>
      <c r="B12" s="9" t="s">
        <v>34</v>
      </c>
      <c r="C12" s="8" t="s">
        <v>27</v>
      </c>
      <c r="D12" s="9" t="s">
        <v>47</v>
      </c>
      <c r="E12" s="9" t="s">
        <v>48</v>
      </c>
      <c r="F12" s="9" t="s">
        <v>49</v>
      </c>
      <c r="G12" s="10" t="s">
        <v>152</v>
      </c>
      <c r="H12" s="10"/>
      <c r="I12" s="10"/>
      <c r="J12" s="11" t="str">
        <f t="shared" si="0"/>
        <v/>
      </c>
      <c r="K12" s="12"/>
      <c r="L12" s="10"/>
      <c r="M12" s="14" t="s">
        <v>25</v>
      </c>
      <c r="N12" s="9" t="s">
        <v>50</v>
      </c>
    </row>
    <row r="13" spans="1:14" ht="36" customHeight="1" x14ac:dyDescent="0.2">
      <c r="A13" s="8">
        <v>9</v>
      </c>
      <c r="B13" s="9" t="s">
        <v>34</v>
      </c>
      <c r="C13" s="8" t="s">
        <v>31</v>
      </c>
      <c r="D13" s="9" t="s">
        <v>51</v>
      </c>
      <c r="E13" s="9" t="s">
        <v>52</v>
      </c>
      <c r="F13" s="9" t="s">
        <v>53</v>
      </c>
      <c r="G13" s="10"/>
      <c r="H13" s="10"/>
      <c r="I13" s="10"/>
      <c r="J13" s="11" t="str">
        <f t="shared" si="0"/>
        <v/>
      </c>
      <c r="K13" s="12"/>
      <c r="L13" s="10"/>
      <c r="M13" s="15" t="s">
        <v>54</v>
      </c>
      <c r="N13" s="9" t="s">
        <v>55</v>
      </c>
    </row>
    <row r="14" spans="1:14" ht="36" customHeight="1" x14ac:dyDescent="0.2">
      <c r="A14" s="8">
        <v>10</v>
      </c>
      <c r="B14" s="9" t="s">
        <v>56</v>
      </c>
      <c r="C14" s="8" t="s">
        <v>27</v>
      </c>
      <c r="D14" s="9" t="s">
        <v>57</v>
      </c>
      <c r="E14" s="9" t="s">
        <v>58</v>
      </c>
      <c r="F14" s="9" t="s">
        <v>59</v>
      </c>
      <c r="G14" s="10"/>
      <c r="H14" s="10"/>
      <c r="I14" s="10"/>
      <c r="J14" s="11" t="str">
        <f t="shared" si="0"/>
        <v/>
      </c>
      <c r="K14" s="12"/>
      <c r="L14" s="10"/>
      <c r="M14" s="14" t="s">
        <v>25</v>
      </c>
      <c r="N14" s="9" t="s">
        <v>60</v>
      </c>
    </row>
    <row r="15" spans="1:14" ht="36" customHeight="1" x14ac:dyDescent="0.2">
      <c r="A15" s="8">
        <v>11</v>
      </c>
      <c r="B15" s="9" t="s">
        <v>56</v>
      </c>
      <c r="C15" s="8" t="s">
        <v>31</v>
      </c>
      <c r="D15" s="9" t="s">
        <v>61</v>
      </c>
      <c r="E15" s="9" t="s">
        <v>58</v>
      </c>
      <c r="F15" s="9" t="s">
        <v>59</v>
      </c>
      <c r="G15" s="10"/>
      <c r="H15" s="10"/>
      <c r="I15" s="10"/>
      <c r="J15" s="11" t="str">
        <f t="shared" si="0"/>
        <v/>
      </c>
      <c r="K15" s="12"/>
      <c r="L15" s="10"/>
      <c r="M15" s="16" t="s">
        <v>62</v>
      </c>
      <c r="N15" s="9" t="s">
        <v>63</v>
      </c>
    </row>
    <row r="16" spans="1:14" ht="36" customHeight="1" x14ac:dyDescent="0.2">
      <c r="A16" s="8">
        <v>12</v>
      </c>
      <c r="B16" s="9" t="s">
        <v>56</v>
      </c>
      <c r="C16" s="8" t="s">
        <v>64</v>
      </c>
      <c r="D16" s="9" t="s">
        <v>65</v>
      </c>
      <c r="E16" s="9" t="s">
        <v>66</v>
      </c>
      <c r="F16" s="9" t="s">
        <v>59</v>
      </c>
      <c r="G16" s="10"/>
      <c r="H16" s="10"/>
      <c r="I16" s="10"/>
      <c r="J16" s="11" t="str">
        <f t="shared" si="0"/>
        <v/>
      </c>
      <c r="K16" s="12"/>
      <c r="L16" s="10"/>
      <c r="M16" s="14" t="s">
        <v>25</v>
      </c>
      <c r="N16" s="9" t="s">
        <v>67</v>
      </c>
    </row>
    <row r="17" spans="1:14" ht="36" customHeight="1" x14ac:dyDescent="0.2">
      <c r="A17" s="8">
        <v>13</v>
      </c>
      <c r="B17" s="9" t="s">
        <v>56</v>
      </c>
      <c r="C17" s="8" t="s">
        <v>27</v>
      </c>
      <c r="D17" s="9" t="s">
        <v>68</v>
      </c>
      <c r="E17" s="9" t="s">
        <v>69</v>
      </c>
      <c r="F17" s="9" t="s">
        <v>70</v>
      </c>
      <c r="G17" s="10"/>
      <c r="H17" s="10"/>
      <c r="I17" s="10"/>
      <c r="J17" s="11" t="str">
        <f t="shared" si="0"/>
        <v/>
      </c>
      <c r="K17" s="12"/>
      <c r="L17" s="10"/>
      <c r="M17" s="15" t="s">
        <v>54</v>
      </c>
      <c r="N17" s="9" t="s">
        <v>71</v>
      </c>
    </row>
    <row r="18" spans="1:14" ht="36" customHeight="1" x14ac:dyDescent="0.2">
      <c r="A18" s="8">
        <v>14</v>
      </c>
      <c r="B18" s="9" t="s">
        <v>72</v>
      </c>
      <c r="C18" s="8" t="s">
        <v>17</v>
      </c>
      <c r="D18" s="9" t="s">
        <v>73</v>
      </c>
      <c r="E18" s="9" t="s">
        <v>74</v>
      </c>
      <c r="F18" s="9" t="s">
        <v>75</v>
      </c>
      <c r="G18" s="10" t="s">
        <v>152</v>
      </c>
      <c r="H18" s="10"/>
      <c r="I18" s="10">
        <v>20</v>
      </c>
      <c r="J18" s="11" t="str">
        <f t="shared" si="0"/>
        <v/>
      </c>
      <c r="K18" s="12" t="s">
        <v>155</v>
      </c>
      <c r="L18" s="10"/>
      <c r="M18" s="14" t="s">
        <v>25</v>
      </c>
      <c r="N18" s="9" t="s">
        <v>76</v>
      </c>
    </row>
    <row r="19" spans="1:14" ht="36" customHeight="1" x14ac:dyDescent="0.2">
      <c r="A19" s="8">
        <v>15</v>
      </c>
      <c r="B19" s="9" t="s">
        <v>72</v>
      </c>
      <c r="C19" s="8" t="s">
        <v>31</v>
      </c>
      <c r="D19" s="9" t="s">
        <v>77</v>
      </c>
      <c r="E19" s="9" t="s">
        <v>36</v>
      </c>
      <c r="F19" s="9" t="s">
        <v>78</v>
      </c>
      <c r="G19" s="10" t="s">
        <v>152</v>
      </c>
      <c r="H19" s="10"/>
      <c r="I19" s="10">
        <v>20</v>
      </c>
      <c r="J19" s="11" t="str">
        <f t="shared" si="0"/>
        <v/>
      </c>
      <c r="K19" s="12" t="s">
        <v>155</v>
      </c>
      <c r="L19" s="10"/>
      <c r="M19" s="14" t="s">
        <v>25</v>
      </c>
      <c r="N19" s="9" t="s">
        <v>79</v>
      </c>
    </row>
    <row r="20" spans="1:14" ht="36" customHeight="1" x14ac:dyDescent="0.2">
      <c r="A20" s="8">
        <v>16</v>
      </c>
      <c r="B20" s="9" t="s">
        <v>80</v>
      </c>
      <c r="C20" s="8" t="s">
        <v>27</v>
      </c>
      <c r="D20" s="9" t="s">
        <v>81</v>
      </c>
      <c r="E20" s="9" t="s">
        <v>82</v>
      </c>
      <c r="F20" s="9" t="s">
        <v>83</v>
      </c>
      <c r="G20" s="10"/>
      <c r="H20" s="10"/>
      <c r="I20" s="10"/>
      <c r="J20" s="11" t="str">
        <f t="shared" si="0"/>
        <v/>
      </c>
      <c r="K20" s="12"/>
      <c r="L20" s="10"/>
      <c r="M20" s="16" t="s">
        <v>62</v>
      </c>
      <c r="N20" s="9" t="s">
        <v>84</v>
      </c>
    </row>
    <row r="21" spans="1:14" ht="36" customHeight="1" x14ac:dyDescent="0.2">
      <c r="A21" s="8">
        <v>17</v>
      </c>
      <c r="B21" s="9" t="s">
        <v>80</v>
      </c>
      <c r="C21" s="8" t="s">
        <v>31</v>
      </c>
      <c r="D21" s="9" t="s">
        <v>85</v>
      </c>
      <c r="E21" s="9" t="s">
        <v>86</v>
      </c>
      <c r="F21" s="9" t="s">
        <v>87</v>
      </c>
      <c r="G21" s="10"/>
      <c r="H21" s="10"/>
      <c r="I21" s="10"/>
      <c r="J21" s="11" t="str">
        <f t="shared" si="0"/>
        <v/>
      </c>
      <c r="K21" s="12"/>
      <c r="L21" s="10"/>
      <c r="M21" s="16" t="s">
        <v>62</v>
      </c>
      <c r="N21" s="9" t="s">
        <v>88</v>
      </c>
    </row>
    <row r="22" spans="1:14" ht="36" customHeight="1" x14ac:dyDescent="0.2">
      <c r="A22" s="8">
        <v>18</v>
      </c>
      <c r="B22" s="9" t="s">
        <v>89</v>
      </c>
      <c r="C22" s="8" t="s">
        <v>27</v>
      </c>
      <c r="D22" s="9" t="s">
        <v>90</v>
      </c>
      <c r="E22" s="9" t="s">
        <v>91</v>
      </c>
      <c r="F22" s="9" t="s">
        <v>92</v>
      </c>
      <c r="G22" s="10"/>
      <c r="H22" s="10"/>
      <c r="I22" s="10"/>
      <c r="J22" s="11" t="str">
        <f t="shared" si="0"/>
        <v/>
      </c>
      <c r="K22" s="12"/>
      <c r="L22" s="10"/>
      <c r="M22" s="16" t="s">
        <v>62</v>
      </c>
      <c r="N22" s="9" t="s">
        <v>93</v>
      </c>
    </row>
    <row r="23" spans="1:14" ht="36" customHeight="1" x14ac:dyDescent="0.2">
      <c r="A23" s="8">
        <v>19</v>
      </c>
      <c r="B23" s="9" t="s">
        <v>94</v>
      </c>
      <c r="C23" s="8" t="s">
        <v>27</v>
      </c>
      <c r="D23" s="9" t="s">
        <v>95</v>
      </c>
      <c r="E23" s="9" t="s">
        <v>96</v>
      </c>
      <c r="F23" s="9" t="s">
        <v>97</v>
      </c>
      <c r="G23" s="10"/>
      <c r="H23" s="10"/>
      <c r="I23" s="10"/>
      <c r="J23" s="11" t="str">
        <f t="shared" si="0"/>
        <v/>
      </c>
      <c r="K23" s="12"/>
      <c r="L23" s="10"/>
      <c r="M23" s="15" t="s">
        <v>54</v>
      </c>
      <c r="N23" s="9" t="s">
        <v>98</v>
      </c>
    </row>
    <row r="24" spans="1:14" ht="36" customHeight="1" x14ac:dyDescent="0.2">
      <c r="A24" s="8">
        <v>20</v>
      </c>
      <c r="B24" s="9" t="s">
        <v>94</v>
      </c>
      <c r="C24" s="8" t="s">
        <v>27</v>
      </c>
      <c r="D24" s="9" t="s">
        <v>99</v>
      </c>
      <c r="E24" s="9" t="s">
        <v>100</v>
      </c>
      <c r="F24" s="9" t="s">
        <v>101</v>
      </c>
      <c r="G24" s="10"/>
      <c r="H24" s="10"/>
      <c r="I24" s="10"/>
      <c r="J24" s="11" t="str">
        <f t="shared" si="0"/>
        <v/>
      </c>
      <c r="K24" s="12"/>
      <c r="L24" s="10"/>
      <c r="M24" s="15" t="s">
        <v>54</v>
      </c>
      <c r="N24" s="9" t="s">
        <v>102</v>
      </c>
    </row>
    <row r="25" spans="1:14" ht="36" customHeight="1" x14ac:dyDescent="0.2">
      <c r="A25" s="8">
        <v>21</v>
      </c>
      <c r="B25" s="9" t="s">
        <v>103</v>
      </c>
      <c r="C25" s="8" t="s">
        <v>17</v>
      </c>
      <c r="D25" s="9" t="s">
        <v>104</v>
      </c>
      <c r="E25" s="9" t="s">
        <v>105</v>
      </c>
      <c r="F25" s="9" t="s">
        <v>106</v>
      </c>
      <c r="G25" s="10"/>
      <c r="H25" s="10"/>
      <c r="I25" s="10"/>
      <c r="J25" s="11" t="str">
        <f t="shared" si="0"/>
        <v/>
      </c>
      <c r="K25" s="12"/>
      <c r="L25" s="10"/>
      <c r="M25" s="17" t="s">
        <v>107</v>
      </c>
      <c r="N25" s="9" t="s">
        <v>108</v>
      </c>
    </row>
    <row r="26" spans="1:14" ht="36" customHeight="1" x14ac:dyDescent="0.2">
      <c r="A26" s="8">
        <v>22</v>
      </c>
      <c r="B26" s="9" t="s">
        <v>103</v>
      </c>
      <c r="C26" s="8" t="s">
        <v>31</v>
      </c>
      <c r="D26" s="9" t="s">
        <v>109</v>
      </c>
      <c r="E26" s="9" t="s">
        <v>110</v>
      </c>
      <c r="F26" s="9" t="s">
        <v>111</v>
      </c>
      <c r="G26" s="10"/>
      <c r="H26" s="10"/>
      <c r="I26" s="10"/>
      <c r="J26" s="11" t="str">
        <f t="shared" si="0"/>
        <v/>
      </c>
      <c r="K26" s="12"/>
      <c r="L26" s="10"/>
      <c r="M26" s="14" t="s">
        <v>25</v>
      </c>
      <c r="N26" s="9" t="s">
        <v>112</v>
      </c>
    </row>
    <row r="27" spans="1:14" ht="36" customHeight="1" x14ac:dyDescent="0.2">
      <c r="A27" s="8">
        <v>23</v>
      </c>
      <c r="B27" s="9" t="s">
        <v>103</v>
      </c>
      <c r="C27" s="8" t="s">
        <v>31</v>
      </c>
      <c r="D27" s="9" t="s">
        <v>113</v>
      </c>
      <c r="E27" s="9" t="s">
        <v>110</v>
      </c>
      <c r="F27" s="9" t="s">
        <v>114</v>
      </c>
      <c r="G27" s="10"/>
      <c r="H27" s="10"/>
      <c r="I27" s="10"/>
      <c r="J27" s="11" t="str">
        <f t="shared" si="0"/>
        <v/>
      </c>
      <c r="K27" s="12"/>
      <c r="L27" s="10"/>
      <c r="M27" s="16" t="s">
        <v>62</v>
      </c>
      <c r="N27" s="9" t="s">
        <v>115</v>
      </c>
    </row>
    <row r="28" spans="1:14" ht="36" customHeight="1" x14ac:dyDescent="0.2">
      <c r="A28" s="8">
        <v>24</v>
      </c>
      <c r="B28" s="9" t="s">
        <v>103</v>
      </c>
      <c r="C28" s="8" t="s">
        <v>31</v>
      </c>
      <c r="D28" s="9" t="s">
        <v>116</v>
      </c>
      <c r="E28" s="9" t="s">
        <v>117</v>
      </c>
      <c r="F28" s="9" t="s">
        <v>118</v>
      </c>
      <c r="G28" s="10"/>
      <c r="H28" s="10"/>
      <c r="I28" s="10"/>
      <c r="J28" s="11" t="str">
        <f t="shared" si="0"/>
        <v/>
      </c>
      <c r="K28" s="12"/>
      <c r="L28" s="10"/>
      <c r="M28" s="14" t="s">
        <v>25</v>
      </c>
      <c r="N28" s="9" t="s">
        <v>119</v>
      </c>
    </row>
    <row r="29" spans="1:14" ht="26.4" customHeight="1" x14ac:dyDescent="0.2">
      <c r="A29" s="8">
        <v>25</v>
      </c>
      <c r="B29" s="9" t="s">
        <v>120</v>
      </c>
      <c r="C29" s="8" t="s">
        <v>27</v>
      </c>
      <c r="D29" s="9" t="s">
        <v>121</v>
      </c>
      <c r="E29" s="9" t="s">
        <v>107</v>
      </c>
      <c r="F29" s="9" t="s">
        <v>122</v>
      </c>
      <c r="G29" s="10"/>
      <c r="H29" s="10"/>
      <c r="I29" s="10"/>
      <c r="J29" s="11" t="str">
        <f t="shared" si="0"/>
        <v/>
      </c>
      <c r="K29" s="12"/>
      <c r="L29" s="10"/>
      <c r="M29" s="13" t="s">
        <v>21</v>
      </c>
      <c r="N29" s="9" t="s">
        <v>123</v>
      </c>
    </row>
    <row r="30" spans="1:14" ht="16.2" x14ac:dyDescent="0.4">
      <c r="A30" s="18"/>
      <c r="B30" s="18"/>
      <c r="C30" s="18"/>
      <c r="D30" s="19" t="s">
        <v>124</v>
      </c>
      <c r="E30" s="18"/>
      <c r="F30" s="18"/>
      <c r="G30" s="18"/>
      <c r="H30" s="20">
        <f>SUM(H5:H29)</f>
        <v>0</v>
      </c>
      <c r="I30" s="18"/>
      <c r="J30" s="21">
        <f>SUM(J5:J29)</f>
        <v>0</v>
      </c>
      <c r="K30" s="18"/>
      <c r="L30" s="18"/>
      <c r="M30" s="18"/>
      <c r="N30" s="18"/>
    </row>
  </sheetData>
  <autoFilter ref="A4:N29" xr:uid="{00000000-0009-0000-0000-000001000000}"/>
  <phoneticPr fontId="9"/>
  <dataValidations count="3">
    <dataValidation type="list" allowBlank="1" sqref="G5:G29" xr:uid="{00000000-0002-0000-0100-000000000000}">
      <formula1>"紙（窓口・郵送）,電子申請,給与システムで作成,社労士等に委託,該当なし,不明"</formula1>
    </dataValidation>
    <dataValidation type="list" allowBlank="1" sqref="L5:L29" xr:uid="{00000000-0002-0000-0100-000001000000}">
      <formula1>"高,中,低"</formula1>
    </dataValidation>
    <dataValidation type="whole" operator="greaterThanOrEqual" allowBlank="1" sqref="H5:I29" xr:uid="{00000000-0002-0000-0100-000002000000}">
      <formula1>0</formula1>
    </dataValidation>
  </dataValidations>
  <pageMargins left="0.75" right="0.75" top="1" bottom="1" header="0.5" footer="0.5"/>
  <pageSetup paperSize="8" scale="7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sheetViews>
  <sheetFormatPr defaultRowHeight="13.2" x14ac:dyDescent="0.2"/>
  <cols>
    <col min="1" max="1" width="40" customWidth="1"/>
    <col min="2" max="2" width="10" customWidth="1"/>
    <col min="3" max="3" width="14" customWidth="1"/>
    <col min="4" max="4" width="20" customWidth="1"/>
    <col min="5" max="5" width="14" customWidth="1"/>
  </cols>
  <sheetData>
    <row r="1" spans="1:5" ht="21.6" x14ac:dyDescent="0.55000000000000004">
      <c r="A1" s="5" t="s">
        <v>147</v>
      </c>
    </row>
    <row r="3" spans="1:5" ht="32.4" x14ac:dyDescent="0.2">
      <c r="A3" s="7" t="s">
        <v>3</v>
      </c>
      <c r="B3" s="7" t="s">
        <v>148</v>
      </c>
      <c r="C3" s="7" t="s">
        <v>149</v>
      </c>
      <c r="D3" s="7" t="s">
        <v>150</v>
      </c>
      <c r="E3" s="7" t="s">
        <v>151</v>
      </c>
    </row>
    <row r="4" spans="1:5" ht="16.2" x14ac:dyDescent="0.2">
      <c r="A4" s="22" t="s">
        <v>16</v>
      </c>
      <c r="B4" s="23">
        <f>COUNTIF(届出一覧!$B$5:$B$29,A4)</f>
        <v>4</v>
      </c>
      <c r="C4" s="23">
        <f>SUMIF(届出一覧!$B$5:$B$29,A4,届出一覧!$H$5:$H$29)</f>
        <v>0</v>
      </c>
      <c r="D4" s="24">
        <f>SUMIF(届出一覧!$B$5:$B$29,A4,届出一覧!$J$5:$J$29)</f>
        <v>0</v>
      </c>
      <c r="E4" s="23">
        <f>COUNTIFS(届出一覧!$B$5:$B$29,A4,届出一覧!$M$5:$M$29,"◎")+COUNTIFS(届出一覧!$B$5:$B$29,A4,届出一覧!$M$5:$M$29,"○")</f>
        <v>4</v>
      </c>
    </row>
    <row r="5" spans="1:5" ht="16.2" x14ac:dyDescent="0.2">
      <c r="A5" s="22" t="s">
        <v>34</v>
      </c>
      <c r="B5" s="23">
        <f>COUNTIF(届出一覧!$B$5:$B$29,A5)</f>
        <v>5</v>
      </c>
      <c r="C5" s="23">
        <f>SUMIF(届出一覧!$B$5:$B$29,A5,届出一覧!$H$5:$H$29)</f>
        <v>0</v>
      </c>
      <c r="D5" s="24">
        <f>SUMIF(届出一覧!$B$5:$B$29,A5,届出一覧!$J$5:$J$29)</f>
        <v>0</v>
      </c>
      <c r="E5" s="23">
        <f>COUNTIFS(届出一覧!$B$5:$B$29,A5,届出一覧!$M$5:$M$29,"◎")+COUNTIFS(届出一覧!$B$5:$B$29,A5,届出一覧!$M$5:$M$29,"○")</f>
        <v>4</v>
      </c>
    </row>
    <row r="6" spans="1:5" ht="16.2" x14ac:dyDescent="0.2">
      <c r="A6" s="22" t="s">
        <v>56</v>
      </c>
      <c r="B6" s="23">
        <f>COUNTIF(届出一覧!$B$5:$B$29,A6)</f>
        <v>4</v>
      </c>
      <c r="C6" s="23">
        <f>SUMIF(届出一覧!$B$5:$B$29,A6,届出一覧!$H$5:$H$29)</f>
        <v>0</v>
      </c>
      <c r="D6" s="24">
        <f>SUMIF(届出一覧!$B$5:$B$29,A6,届出一覧!$J$5:$J$29)</f>
        <v>0</v>
      </c>
      <c r="E6" s="23">
        <f>COUNTIFS(届出一覧!$B$5:$B$29,A6,届出一覧!$M$5:$M$29,"◎")+COUNTIFS(届出一覧!$B$5:$B$29,A6,届出一覧!$M$5:$M$29,"○")</f>
        <v>2</v>
      </c>
    </row>
    <row r="7" spans="1:5" ht="16.2" x14ac:dyDescent="0.2">
      <c r="A7" s="22" t="s">
        <v>72</v>
      </c>
      <c r="B7" s="23">
        <f>COUNTIF(届出一覧!$B$5:$B$29,A7)</f>
        <v>2</v>
      </c>
      <c r="C7" s="23">
        <f>SUMIF(届出一覧!$B$5:$B$29,A7,届出一覧!$H$5:$H$29)</f>
        <v>0</v>
      </c>
      <c r="D7" s="24">
        <f>SUMIF(届出一覧!$B$5:$B$29,A7,届出一覧!$J$5:$J$29)</f>
        <v>0</v>
      </c>
      <c r="E7" s="23">
        <f>COUNTIFS(届出一覧!$B$5:$B$29,A7,届出一覧!$M$5:$M$29,"◎")+COUNTIFS(届出一覧!$B$5:$B$29,A7,届出一覧!$M$5:$M$29,"○")</f>
        <v>2</v>
      </c>
    </row>
    <row r="8" spans="1:5" ht="16.2" x14ac:dyDescent="0.2">
      <c r="A8" s="22" t="s">
        <v>80</v>
      </c>
      <c r="B8" s="23">
        <f>COUNTIF(届出一覧!$B$5:$B$29,A8)</f>
        <v>2</v>
      </c>
      <c r="C8" s="23">
        <f>SUMIF(届出一覧!$B$5:$B$29,A8,届出一覧!$H$5:$H$29)</f>
        <v>0</v>
      </c>
      <c r="D8" s="24">
        <f>SUMIF(届出一覧!$B$5:$B$29,A8,届出一覧!$J$5:$J$29)</f>
        <v>0</v>
      </c>
      <c r="E8" s="23">
        <f>COUNTIFS(届出一覧!$B$5:$B$29,A8,届出一覧!$M$5:$M$29,"◎")+COUNTIFS(届出一覧!$B$5:$B$29,A8,届出一覧!$M$5:$M$29,"○")</f>
        <v>0</v>
      </c>
    </row>
    <row r="9" spans="1:5" ht="16.2" x14ac:dyDescent="0.2">
      <c r="A9" s="22" t="s">
        <v>89</v>
      </c>
      <c r="B9" s="23">
        <f>COUNTIF(届出一覧!$B$5:$B$29,A9)</f>
        <v>1</v>
      </c>
      <c r="C9" s="23">
        <f>SUMIF(届出一覧!$B$5:$B$29,A9,届出一覧!$H$5:$H$29)</f>
        <v>0</v>
      </c>
      <c r="D9" s="24">
        <f>SUMIF(届出一覧!$B$5:$B$29,A9,届出一覧!$J$5:$J$29)</f>
        <v>0</v>
      </c>
      <c r="E9" s="23">
        <f>COUNTIFS(届出一覧!$B$5:$B$29,A9,届出一覧!$M$5:$M$29,"◎")+COUNTIFS(届出一覧!$B$5:$B$29,A9,届出一覧!$M$5:$M$29,"○")</f>
        <v>0</v>
      </c>
    </row>
    <row r="10" spans="1:5" ht="16.2" x14ac:dyDescent="0.2">
      <c r="A10" s="22" t="s">
        <v>94</v>
      </c>
      <c r="B10" s="23">
        <f>COUNTIF(届出一覧!$B$5:$B$29,A10)</f>
        <v>2</v>
      </c>
      <c r="C10" s="23">
        <f>SUMIF(届出一覧!$B$5:$B$29,A10,届出一覧!$H$5:$H$29)</f>
        <v>0</v>
      </c>
      <c r="D10" s="24">
        <f>SUMIF(届出一覧!$B$5:$B$29,A10,届出一覧!$J$5:$J$29)</f>
        <v>0</v>
      </c>
      <c r="E10" s="23">
        <f>COUNTIFS(届出一覧!$B$5:$B$29,A10,届出一覧!$M$5:$M$29,"◎")+COUNTIFS(届出一覧!$B$5:$B$29,A10,届出一覧!$M$5:$M$29,"○")</f>
        <v>0</v>
      </c>
    </row>
    <row r="11" spans="1:5" ht="16.2" x14ac:dyDescent="0.2">
      <c r="A11" s="22" t="s">
        <v>103</v>
      </c>
      <c r="B11" s="23">
        <f>COUNTIF(届出一覧!$B$5:$B$29,A11)</f>
        <v>4</v>
      </c>
      <c r="C11" s="23">
        <f>SUMIF(届出一覧!$B$5:$B$29,A11,届出一覧!$H$5:$H$29)</f>
        <v>0</v>
      </c>
      <c r="D11" s="24">
        <f>SUMIF(届出一覧!$B$5:$B$29,A11,届出一覧!$J$5:$J$29)</f>
        <v>0</v>
      </c>
      <c r="E11" s="23">
        <f>COUNTIFS(届出一覧!$B$5:$B$29,A11,届出一覧!$M$5:$M$29,"◎")+COUNTIFS(届出一覧!$B$5:$B$29,A11,届出一覧!$M$5:$M$29,"○")</f>
        <v>2</v>
      </c>
    </row>
    <row r="12" spans="1:5" ht="16.2" x14ac:dyDescent="0.2">
      <c r="A12" s="22" t="s">
        <v>120</v>
      </c>
      <c r="B12" s="23">
        <f>COUNTIF(届出一覧!$B$5:$B$29,A12)</f>
        <v>1</v>
      </c>
      <c r="C12" s="23">
        <f>SUMIF(届出一覧!$B$5:$B$29,A12,届出一覧!$H$5:$H$29)</f>
        <v>0</v>
      </c>
      <c r="D12" s="24">
        <f>SUMIF(届出一覧!$B$5:$B$29,A12,届出一覧!$J$5:$J$29)</f>
        <v>0</v>
      </c>
      <c r="E12" s="23">
        <f>COUNTIFS(届出一覧!$B$5:$B$29,A12,届出一覧!$M$5:$M$29,"◎")+COUNTIFS(届出一覧!$B$5:$B$29,A12,届出一覧!$M$5:$M$29,"○")</f>
        <v>1</v>
      </c>
    </row>
    <row r="13" spans="1:5" ht="16.2" x14ac:dyDescent="0.4">
      <c r="A13" s="25" t="s">
        <v>124</v>
      </c>
      <c r="B13" s="26">
        <f>SUM(B4:B12)</f>
        <v>25</v>
      </c>
      <c r="C13" s="26">
        <f>SUM(C4:C12)</f>
        <v>0</v>
      </c>
      <c r="D13" s="21">
        <f>SUM(D4:D12)</f>
        <v>0</v>
      </c>
      <c r="E13" s="26">
        <f>SUM(E4:E12)</f>
        <v>15</v>
      </c>
    </row>
  </sheetData>
  <phoneticPr fontId="9"/>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使い方</vt:lpstr>
      <vt:lpstr>届出一覧</vt:lpstr>
      <vt:lpstr>届出先別集計</vt:lpstr>
      <vt:lpstr>届出一覧!Print_Titles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藤野 真和</cp:lastModifiedBy>
  <cp:lastPrinted>2026-10-21T05:59:53Z</cp:lastPrinted>
  <dcterms:created xsi:type="dcterms:W3CDTF">2026-10-10T11:38:25Z</dcterms:created>
  <dcterms:modified xsi:type="dcterms:W3CDTF">2026-10-21T06:28:12Z</dcterms:modified>
</cp:coreProperties>
</file>