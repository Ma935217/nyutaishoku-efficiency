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出力" sheetId="2" state="visible" r:id="rId2"/>
    <sheet xmlns:r="http://schemas.openxmlformats.org/officeDocument/2006/relationships" name="入職台帳" sheetId="3" state="visible" r:id="rId3"/>
    <sheet xmlns:r="http://schemas.openxmlformats.org/officeDocument/2006/relationships" name="退職台帳" sheetId="4" state="visible" r:id="rId4"/>
    <sheet xmlns:r="http://schemas.openxmlformats.org/officeDocument/2006/relationships" name="チェックリスト" sheetId="5" state="visible" r:id="rId5"/>
    <sheet xmlns:r="http://schemas.openxmlformats.org/officeDocument/2006/relationships" name="内容確認" sheetId="6" state="visible" r:id="rId6"/>
    <sheet xmlns:r="http://schemas.openxmlformats.org/officeDocument/2006/relationships" name="設定" sheetId="7" state="visible" r:id="rId7"/>
    <sheet xmlns:r="http://schemas.openxmlformats.org/officeDocument/2006/relationships" name="レイアウト定義" sheetId="8" state="visible" r:id="rId8"/>
    <sheet xmlns:r="http://schemas.openxmlformats.org/officeDocument/2006/relationships" name="コード表" sheetId="9" state="visible" r:id="rId9"/>
    <sheet xmlns:r="http://schemas.openxmlformats.org/officeDocument/2006/relationships" name="ルール" sheetId="10" state="visible" r:id="rId10"/>
    <sheet xmlns:r="http://schemas.openxmlformats.org/officeDocument/2006/relationships" name="ログ" sheetId="11" state="visible" r:id="rId11"/>
    <sheet xmlns:r="http://schemas.openxmlformats.org/officeDocument/2006/relationships" name="変更履歴" sheetId="12" state="visible" r:id="rId12"/>
  </sheets>
  <definedNames>
    <definedName name="出力フォルダ">設定!$C$5</definedName>
    <definedName name="文字コード">設定!$C$6</definedName>
    <definedName name="引用符">設定!$C$7</definedName>
    <definedName name="法人名">設定!$C$8</definedName>
    <definedName name="事業主氏名">設定!$C$9</definedName>
    <definedName name="事業所_郵便番号">設定!$C$10</definedName>
    <definedName name="事業所_所在地">設定!$C$11</definedName>
    <definedName name="事業所_電話">設定!$C$12</definedName>
    <definedName name="事業所整理記号">設定!$C$13</definedName>
    <definedName name="事業所番号">設定!$C$14</definedName>
    <definedName name="雇保事業所番号">設定!$C$15</definedName>
    <definedName name="元号表">設定!$B$20:$D$22</definedName>
    <definedName name="届種別一覧">設定!$B$27:$G$30</definedName>
    <definedName name="届種別リスト">設定!$B$27:$B$30</definedName>
    <definedName name="入職台帳_DB先頭">'入職台帳'!$AG$4</definedName>
    <definedName name="退職台帳_DB先頭">'退職台帳'!$Y$4</definedName>
    <definedName name="届種別選択">出力!$B$3</definedName>
    <definedName name="入力氏名">チェックリスト!$D$4</definedName>
    <definedName name="入力区分">チェックリスト!$D$5</definedName>
    <definedName name="入力基準日">チェックリスト!$D$6</definedName>
    <definedName name="入力生年月日">チェックリスト!$D$7</definedName>
    <definedName name="入力国籍">チェックリスト!$D$8</definedName>
    <definedName name="入力在留資格">チェックリスト!$D$9</definedName>
    <definedName name="入力社保">チェックリスト!$D$10</definedName>
    <definedName name="入力雇保">チェックリスト!$D$11</definedName>
    <definedName name="入力扶養">チェックリスト!$D$12</definedName>
    <definedName name="入力特徴">チェックリスト!$D$13</definedName>
    <definedName name="入力共済">チェックリスト!$D$14</definedName>
    <definedName name="入力役職">チェックリスト!$D$15</definedName>
    <definedName name="入力離職票">チェックリスト!$D$16</definedName>
    <definedName name="入力退職金">チェックリスト!$D$17</definedName>
    <definedName name="入力障害者">チェックリスト!$D$18</definedName>
    <definedName name="入力退職理由">チェックリスト!$D$19</definedName>
    <definedName name="条件_社保">チェックリスト!$J$4</definedName>
    <definedName name="条件_雇保">チェックリスト!$J$5</definedName>
    <definedName name="条件_外国籍">チェックリスト!$J$6</definedName>
    <definedName name="条件_特定技能">チェックリスト!$J$7</definedName>
    <definedName name="条件_扶養">チェックリスト!$J$8</definedName>
    <definedName name="条件_70歳以上">チェックリスト!$J$9</definedName>
    <definedName name="条件_離職票要">チェックリスト!$J$10</definedName>
    <definedName name="条件_特徴">チェックリスト!$J$11</definedName>
    <definedName name="条件_共済">チェックリスト!$J$12</definedName>
    <definedName name="条件_役職">チェックリスト!$J$13</definedName>
    <definedName name="条件_退職金">チェックリスト!$J$14</definedName>
    <definedName name="条件_障害者">チェックリスト!$J$15</definedName>
    <definedName name="条件_解雇">チェックリスト!$J$16</definedName>
    <definedName name="_xlnm.Print_Area" localSheetId="4">'チェックリスト'!$B$1:$G$48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/mm/dd"/>
    <numFmt numFmtId="166" formatCode="#,##0.##"/>
    <numFmt numFmtId="167" formatCode="[$-411]yyyy/m/d(aaa)"/>
    <numFmt numFmtId="168" formatCode="yyyy/mm/dd hh:mm"/>
  </numFmts>
  <fonts count="4">
    <font>
      <name val="Calibri"/>
      <family val="2"/>
      <color theme="1"/>
      <sz val="11"/>
      <scheme val="minor"/>
    </font>
    <font>
      <name val="游ゴシック"/>
      <b val="1"/>
      <color rgb="001F5F8B"/>
      <sz val="14"/>
    </font>
    <font>
      <name val="游ゴシック"/>
      <sz val="10"/>
    </font>
    <font>
      <name val="游ゴシック"/>
      <b val="1"/>
      <color rgb="001F3864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E69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 wrapText="1"/>
    </xf>
    <xf numFmtId="0" fontId="0" fillId="3" borderId="0" pivotButton="0" quotePrefix="0" xfId="0"/>
    <xf numFmtId="49" fontId="0" fillId="3" borderId="0" pivotButton="0" quotePrefix="0" xfId="0"/>
    <xf numFmtId="166" fontId="0" fillId="3" borderId="0" pivotButton="0" quotePrefix="0" xfId="0"/>
    <xf numFmtId="3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0" borderId="1" pivotButton="0" quotePrefix="0" xfId="0"/>
    <xf numFmtId="0" fontId="0" fillId="7" borderId="0" pivotButton="0" quotePrefix="0" xfId="0"/>
    <xf numFmtId="165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vertical="center" wrapText="1"/>
    </xf>
    <xf numFmtId="49" fontId="0" fillId="3" borderId="1" pivotButton="0" quotePrefix="0" xfId="0"/>
    <xf numFmtId="0" fontId="0" fillId="0" borderId="0" applyAlignment="1" pivotButton="0" quotePrefix="0" xfId="0">
      <alignment vertical="top" wrapText="1"/>
    </xf>
    <xf numFmtId="165" fontId="0" fillId="0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vertical="top" wrapText="1"/>
    </xf>
    <xf numFmtId="167" fontId="0" fillId="4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DC3E6"/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届出作成ツール v1.0（入退職の届出チェックリスト・届書データ作成）</t>
        </is>
      </c>
    </row>
    <row r="3">
      <c r="B3" s="2" t="inlineStr">
        <is>
          <t>色の約束：黄色＝入力する欄／緑＝自動（数式）／水色＝見出し・ボタン／灰色のシート＝ふだんは触らない</t>
        </is>
      </c>
    </row>
    <row r="4">
      <c r="B4" s="2" t="inlineStr"/>
    </row>
    <row r="5">
      <c r="B5" s="3" t="inlineStr">
        <is>
          <t>■ できること</t>
        </is>
      </c>
    </row>
    <row r="6">
      <c r="B6" s="2" t="inlineStr">
        <is>
          <t>A. チェックリスト：1名分の条件を選ぶと、必要な届出・提出先・期限日が出る（印刷してそのまま使える）</t>
        </is>
      </c>
    </row>
    <row r="7">
      <c r="B7" s="2" t="inlineStr">
        <is>
          <t>B. 届書データ：入職台帳／退職台帳の○を付けた行から、社保の取得届・喪失届のCSV、雇保の取得届・喪失届の転記一覧を作る</t>
        </is>
      </c>
    </row>
    <row r="8">
      <c r="B8" s="2" t="inlineStr"/>
    </row>
    <row r="9">
      <c r="B9" s="3" t="inlineStr">
        <is>
          <t>■ 毎回の流れ（届書データ）</t>
        </is>
      </c>
    </row>
    <row r="10">
      <c r="B10" s="2" t="inlineStr">
        <is>
          <t>1. 入退職管理マスタの入職DB（退職DB）から対象者の行をコピーし、台帳の「DB貼り付け欄」に【値で貼り付け】する（Ctrl+Alt+V → 値）</t>
        </is>
      </c>
    </row>
    <row r="11">
      <c r="B11" s="2" t="inlineStr">
        <is>
          <t>2. 台帳の黄色の「追加入力」列（性別・報酬月額など）を埋め、出力したい行のA列に○を付ける</t>
        </is>
      </c>
    </row>
    <row r="12">
      <c r="B12" s="2" t="inlineStr">
        <is>
          <t>3. 「出力」シートで届種別を選び［チェック］→ 下の一覧にエラーが出たら台帳を直す</t>
        </is>
      </c>
    </row>
    <row r="13">
      <c r="B13" s="2" t="inlineStr">
        <is>
          <t>4. エラー0件になったら［CSV出力］。社保はCSVファイル、雇保は「内容確認」シートの転記一覧ができる</t>
        </is>
      </c>
    </row>
    <row r="14">
      <c r="B14" s="2" t="inlineStr">
        <is>
          <t>5. 社保：届書作成プログラムでCSVを読み込み、個人番号を入力して電子申請。雇保：転記一覧を見てe-Gov等に入力</t>
        </is>
      </c>
    </row>
    <row r="15">
      <c r="B15" s="2" t="inlineStr">
        <is>
          <t>6. 提出が済んだら台帳の［台帳をクリア］で個人データを消してから保存する（実データを残したまま保存しない）</t>
        </is>
      </c>
    </row>
    <row r="16">
      <c r="B16" s="2" t="inlineStr"/>
    </row>
    <row r="17">
      <c r="B17" s="3" t="inlineStr">
        <is>
          <t>■ やってはいけないこと</t>
        </is>
      </c>
    </row>
    <row r="18">
      <c r="B18" s="2" t="inlineStr">
        <is>
          <t>・マイナンバーをこのブックに入力しない（届書作成プログラム上で入力する）</t>
        </is>
      </c>
    </row>
    <row r="19">
      <c r="B19" s="2" t="inlineStr">
        <is>
          <t>・出力CSVを人事部の出力フォルダ以外に持ち出さない／メールに添付しない</t>
        </is>
      </c>
    </row>
    <row r="20">
      <c r="B20" s="2" t="inlineStr">
        <is>
          <t>・灰色のシート（設定・レイアウト定義・コード表・ルール）は、担当を決めた人だけが直す</t>
        </is>
      </c>
    </row>
    <row r="21">
      <c r="B21" s="2" t="inlineStr"/>
    </row>
    <row r="22">
      <c r="B22" s="3" t="inlineStr">
        <is>
          <t>■ 困ったとき</t>
        </is>
      </c>
    </row>
    <row r="23">
      <c r="B23" s="2" t="inlineStr">
        <is>
          <t>・ボタンを押しても動かない → マクロが無効。運用手順書の「信頼できる場所」の設定を確認</t>
        </is>
      </c>
    </row>
    <row r="24">
      <c r="B24" s="2" t="inlineStr">
        <is>
          <t>・「列が見つかりません」 → 入職DB（退職DB）の見出しが変わった。DBの見出し行を台帳4行目のDB貼り付け欄に貼り直す</t>
        </is>
      </c>
    </row>
    <row r="25">
      <c r="B25" s="2" t="inlineStr">
        <is>
          <t>・詳しくは 運用手順書（届出作成ツール）を参照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DC3E6"/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26" customWidth="1" min="5" max="5"/>
    <col width="70" customWidth="1" min="6" max="6"/>
  </cols>
  <sheetData>
    <row r="1">
      <c r="A1" s="4" t="inlineStr">
        <is>
          <t>出力（届書データの作成）</t>
        </is>
      </c>
    </row>
    <row r="2">
      <c r="A2" s="5" t="inlineStr">
        <is>
          <t>①届種別を選ぶ ②［チェック］ ③エラー0件なら［CSV出力］</t>
        </is>
      </c>
    </row>
    <row r="3">
      <c r="A3" s="6" t="inlineStr">
        <is>
          <t>届種別</t>
        </is>
      </c>
      <c r="B3" s="7" t="inlineStr">
        <is>
          <t>社保取得</t>
        </is>
      </c>
    </row>
    <row r="4">
      <c r="A4" s="6" t="inlineStr">
        <is>
          <t>対象台帳</t>
        </is>
      </c>
      <c r="B4" s="8">
        <f>IFERROR(INDEX(届種別一覧,MATCH($B$3,届種別リスト,0),2),"")</f>
        <v/>
      </c>
    </row>
    <row r="5">
      <c r="A5" s="6" t="inlineStr">
        <is>
          <t>出力形式／確定</t>
        </is>
      </c>
      <c r="B5" s="8">
        <f>IFERROR(INDEX(届種別一覧,MATCH($B$3,届種別リスト,0),3)&amp;"／"&amp;INDEX(届種別一覧,MATCH($B$3,届種別リスト,0),5),"")</f>
        <v/>
      </c>
    </row>
    <row r="6">
      <c r="A6" s="6" t="inlineStr">
        <is>
          <t>メッセージ</t>
        </is>
      </c>
      <c r="B6" s="8" t="n"/>
    </row>
    <row r="8">
      <c r="A8" s="5" t="inlineStr">
        <is>
          <t>ボタンがないとき：Alt+F8 で btnCheck／btnExport を実行（初回は SetupButtons を1回実行するとボタンが付く）</t>
        </is>
      </c>
    </row>
    <row r="10" ht="22" customHeight="1">
      <c r="A10" s="9" t="inlineStr">
        <is>
          <t>区分</t>
        </is>
      </c>
      <c r="B10" s="9" t="inlineStr">
        <is>
          <t>台帳行</t>
        </is>
      </c>
      <c r="C10" s="9" t="inlineStr">
        <is>
          <t>職員番号</t>
        </is>
      </c>
      <c r="D10" s="9" t="inlineStr">
        <is>
          <t>氏名</t>
        </is>
      </c>
      <c r="E10" s="9" t="inlineStr">
        <is>
          <t>項目</t>
        </is>
      </c>
      <c r="F10" s="9" t="inlineStr">
        <is>
          <t>内容</t>
        </is>
      </c>
    </row>
  </sheetData>
  <mergeCells count="1">
    <mergeCell ref="B6:F6"/>
  </mergeCells>
  <dataValidations count="1">
    <dataValidation sqref="B3" showDropDown="0" showInputMessage="0" showErrorMessage="0" allowBlank="1" type="list">
      <formula1>=届種別リスト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DC3E6"/>
    <outlinePr summaryBelow="1" summaryRight="1"/>
    <pageSetUpPr/>
  </sheetPr>
  <dimension ref="A1:CV20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6" customWidth="1" min="5" max="5"/>
    <col width="14" customWidth="1" min="6" max="6"/>
    <col width="7" customWidth="1" min="7" max="7"/>
    <col width="11" customWidth="1" min="8" max="8"/>
    <col width="11" customWidth="1" min="9" max="9"/>
    <col width="11" customWidth="1" min="10" max="10"/>
    <col width="18" customWidth="1" min="11" max="11"/>
    <col width="10" customWidth="1" min="12" max="12"/>
    <col width="20" customWidth="1" min="13" max="13"/>
    <col width="24" customWidth="1" min="14" max="14"/>
    <col width="18" customWidth="1" min="15" max="15"/>
    <col width="8" customWidth="1" min="16" max="16"/>
    <col width="15" customWidth="1" min="17" max="17"/>
    <col width="16" customWidth="1" min="18" max="18"/>
    <col width="8" customWidth="1" min="19" max="19"/>
    <col width="10" customWidth="1" min="20" max="20"/>
    <col width="12" customWidth="1" min="21" max="21"/>
    <col width="14" customWidth="1" min="22" max="22"/>
    <col width="10" customWidth="1" min="23" max="23"/>
    <col width="8" customWidth="1" min="24" max="24"/>
    <col width="8" customWidth="1" min="25" max="25"/>
    <col width="11" customWidth="1" min="26" max="26"/>
    <col width="8" customWidth="1" min="27" max="27"/>
    <col width="10" customWidth="1" min="28" max="28"/>
    <col width="8" customWidth="1" min="29" max="29"/>
    <col width="10" customWidth="1" min="30" max="30"/>
    <col width="14" customWidth="1" min="31" max="31"/>
    <col width="2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</cols>
  <sheetData>
    <row r="1">
      <c r="A1" s="4" t="inlineStr">
        <is>
          <t>入職台帳（採用者）</t>
        </is>
      </c>
    </row>
    <row r="2">
      <c r="A2" s="5" t="inlineStr">
        <is>
          <t>①DB貼り付け欄に入退職管理マスタの行を【値で貼り付け】 ②黄色の追加入力を埋める ③出力する行のA列に○</t>
        </is>
      </c>
    </row>
    <row r="3">
      <c r="A3" s="10" t="inlineStr">
        <is>
          <t>自動・出力管理</t>
        </is>
      </c>
      <c r="E3" s="10" t="inlineStr">
        <is>
          <t>追加入力（黄色）：DBにない届書の項目</t>
        </is>
      </c>
      <c r="AG3" s="10" t="inlineStr">
        <is>
          <t>DB貼り付け欄：入退職管理マスタの行を値で貼り付け（見出しが変わったら4行目も貼り直す）</t>
        </is>
      </c>
    </row>
    <row r="4" ht="48" customHeight="1">
      <c r="A4" s="9" t="inlineStr">
        <is>
          <t>出力対象</t>
        </is>
      </c>
      <c r="B4" s="9" t="inlineStr">
        <is>
          <t>出力済</t>
        </is>
      </c>
      <c r="C4" s="9" t="inlineStr">
        <is>
          <t>職員番号（表示）</t>
        </is>
      </c>
      <c r="D4" s="9" t="inlineStr">
        <is>
          <t>氏名（表示）</t>
        </is>
      </c>
      <c r="E4" s="11" t="inlineStr">
        <is>
          <t>性別</t>
        </is>
      </c>
      <c r="F4" s="11" t="inlineStr">
        <is>
          <t>基礎年金番号</t>
        </is>
      </c>
      <c r="G4" s="11" t="inlineStr">
        <is>
          <t>被扶養者</t>
        </is>
      </c>
      <c r="H4" s="11" t="inlineStr">
        <is>
          <t>報酬月額_通貨</t>
        </is>
      </c>
      <c r="I4" s="11" t="inlineStr">
        <is>
          <t>報酬月額_現物</t>
        </is>
      </c>
      <c r="J4" s="11" t="inlineStr">
        <is>
          <t>報酬月額_合計</t>
        </is>
      </c>
      <c r="K4" s="11" t="inlineStr">
        <is>
          <t>社保備考区分</t>
        </is>
      </c>
      <c r="L4" s="11" t="inlineStr">
        <is>
          <t>郵便番号</t>
        </is>
      </c>
      <c r="M4" s="11" t="inlineStr">
        <is>
          <t>住所カナ</t>
        </is>
      </c>
      <c r="N4" s="11" t="inlineStr">
        <is>
          <t>住所</t>
        </is>
      </c>
      <c r="O4" s="11" t="inlineStr">
        <is>
          <t>氏名ローマ字</t>
        </is>
      </c>
      <c r="P4" s="11" t="inlineStr">
        <is>
          <t>雇保取得区分</t>
        </is>
      </c>
      <c r="Q4" s="11" t="inlineStr">
        <is>
          <t>雇保被保険者番号</t>
        </is>
      </c>
      <c r="R4" s="11" t="inlineStr">
        <is>
          <t>取得原因</t>
        </is>
      </c>
      <c r="S4" s="11" t="inlineStr">
        <is>
          <t>賃金支払態様</t>
        </is>
      </c>
      <c r="T4" s="11" t="inlineStr">
        <is>
          <t>賃金月額</t>
        </is>
      </c>
      <c r="U4" s="11" t="inlineStr">
        <is>
          <t>雇用形態</t>
        </is>
      </c>
      <c r="V4" s="11" t="inlineStr">
        <is>
          <t>職種区分</t>
        </is>
      </c>
      <c r="W4" s="11" t="inlineStr">
        <is>
          <t>就職経路</t>
        </is>
      </c>
      <c r="X4" s="11" t="inlineStr">
        <is>
          <t>週所定労働時間</t>
        </is>
      </c>
      <c r="Y4" s="11" t="inlineStr">
        <is>
          <t>契約期間の定め</t>
        </is>
      </c>
      <c r="Z4" s="11" t="inlineStr">
        <is>
          <t>契約開始日</t>
        </is>
      </c>
      <c r="AA4" s="11" t="inlineStr">
        <is>
          <t>契約更新条項</t>
        </is>
      </c>
      <c r="AB4" s="11" t="inlineStr">
        <is>
          <t>国籍・地域</t>
        </is>
      </c>
      <c r="AC4" s="11" t="inlineStr">
        <is>
          <t>資格外活動許可</t>
        </is>
      </c>
      <c r="AD4" s="11" t="inlineStr">
        <is>
          <t>派遣・請負就労区分</t>
        </is>
      </c>
      <c r="AE4" s="11" t="inlineStr">
        <is>
          <t>在留カード番号</t>
        </is>
      </c>
      <c r="AG4" s="9" t="inlineStr">
        <is>
          <t>No.</t>
        </is>
      </c>
      <c r="AH4" s="9" t="inlineStr">
        <is>
          <t>年度</t>
        </is>
      </c>
      <c r="AI4" s="9" t="inlineStr">
        <is>
          <t>入職年月</t>
        </is>
      </c>
      <c r="AJ4" s="9" t="inlineStr">
        <is>
          <t>区分</t>
        </is>
      </c>
      <c r="AK4" s="9" t="inlineStr">
        <is>
          <t>入職日
★必須</t>
        </is>
      </c>
      <c r="AL4" s="9" t="inlineStr">
        <is>
          <t>職員番号
★必須</t>
        </is>
      </c>
      <c r="AM4" s="9" t="inlineStr">
        <is>
          <t>氏名
★必須</t>
        </is>
      </c>
      <c r="AN4" s="9" t="inlineStr">
        <is>
          <t>フリガナ</t>
        </is>
      </c>
      <c r="AO4" s="9" t="inlineStr">
        <is>
          <t>事業所
★選択</t>
        </is>
      </c>
      <c r="AP4" s="9" t="inlineStr">
        <is>
          <t>事業所
コード</t>
        </is>
      </c>
      <c r="AQ4" s="9" t="inlineStr">
        <is>
          <t>職種
★選択</t>
        </is>
      </c>
      <c r="AR4" s="9" t="inlineStr">
        <is>
          <t>職種
コード</t>
        </is>
      </c>
      <c r="AS4" s="9" t="inlineStr">
        <is>
          <t>保有資格
★選択</t>
        </is>
      </c>
      <c r="AT4" s="9" t="inlineStr">
        <is>
          <t>雇用区分
★選択</t>
        </is>
      </c>
      <c r="AU4" s="9" t="inlineStr">
        <is>
          <t>雇用区分
コード</t>
        </is>
      </c>
      <c r="AV4" s="9" t="inlineStr">
        <is>
          <t>在留資格
区分★</t>
        </is>
      </c>
      <c r="AW4" s="9" t="inlineStr">
        <is>
          <t>採用経路
★選択</t>
        </is>
      </c>
      <c r="AX4" s="9" t="inlineStr">
        <is>
          <t>紹介会社・
媒体名</t>
        </is>
      </c>
      <c r="AY4" s="9" t="inlineStr">
        <is>
          <t>夜勤宿直
★選択</t>
        </is>
      </c>
      <c r="AZ4" s="9" t="inlineStr">
        <is>
          <t>契約満了日
(有期のみ)</t>
        </is>
      </c>
      <c r="BA4" s="9" t="inlineStr">
        <is>
          <t>更新</t>
        </is>
      </c>
      <c r="BB4" s="9" t="inlineStr">
        <is>
          <t>社会保険
★選択</t>
        </is>
      </c>
      <c r="BC4" s="9" t="inlineStr">
        <is>
          <t>雇用保険
★選択</t>
        </is>
      </c>
      <c r="BD4" s="9" t="inlineStr">
        <is>
          <t>マイカー通勤
★選択</t>
        </is>
      </c>
      <c r="BE4" s="9" t="inlineStr">
        <is>
          <t>手続
ステータス</t>
        </is>
      </c>
      <c r="BF4" s="9" t="inlineStr">
        <is>
          <t>進捗率</t>
        </is>
      </c>
      <c r="BG4" s="9" t="inlineStr">
        <is>
          <t>健診
受診日</t>
        </is>
      </c>
      <c r="BH4" s="9" t="inlineStr">
        <is>
          <t>健診結果
受領</t>
        </is>
      </c>
      <c r="BI4" s="9" t="inlineStr">
        <is>
          <t>職員登録票</t>
        </is>
      </c>
      <c r="BJ4" s="9" t="inlineStr">
        <is>
          <t>誓約書</t>
        </is>
      </c>
      <c r="BK4" s="9" t="inlineStr">
        <is>
          <t>扶養控除
申告書</t>
        </is>
      </c>
      <c r="BL4" s="9" t="inlineStr">
        <is>
          <t>マイカー
誓約書</t>
        </is>
      </c>
      <c r="BM4" s="9" t="inlineStr">
        <is>
          <t>マイカー
申請</t>
        </is>
      </c>
      <c r="BN4" s="9" t="inlineStr">
        <is>
          <t>マイカー
提出書類</t>
        </is>
      </c>
      <c r="BO4" s="9" t="inlineStr">
        <is>
          <t>マイナンバー
確認</t>
        </is>
      </c>
      <c r="BP4" s="9" t="inlineStr">
        <is>
          <t>資格者証
(写)</t>
        </is>
      </c>
      <c r="BQ4" s="9" t="inlineStr">
        <is>
          <t>源泉徴収票
(前職)</t>
        </is>
      </c>
      <c r="BR4" s="9" t="inlineStr">
        <is>
          <t>社保
加入手続</t>
        </is>
      </c>
      <c r="BS4" s="9" t="inlineStr">
        <is>
          <t>資格確認書
交付</t>
        </is>
      </c>
      <c r="BT4" s="9" t="inlineStr">
        <is>
          <t>社保
(扶養数)</t>
        </is>
      </c>
      <c r="BU4" s="9" t="inlineStr">
        <is>
          <t>社保
受取</t>
        </is>
      </c>
      <c r="BV4" s="9" t="inlineStr">
        <is>
          <t>保険証
番号</t>
        </is>
      </c>
      <c r="BW4" s="9" t="inlineStr">
        <is>
          <t>本人受取
(社保)</t>
        </is>
      </c>
      <c r="BX4" s="9" t="inlineStr">
        <is>
          <t>社保区分
★選択</t>
        </is>
      </c>
      <c r="BY4" s="9" t="inlineStr">
        <is>
          <t>雇保
資格取得届出日</t>
        </is>
      </c>
      <c r="BZ4" s="9" t="inlineStr">
        <is>
          <t>本人受取
(雇保)</t>
        </is>
      </c>
      <c r="CA4" s="9" t="inlineStr">
        <is>
          <t>入職時
説明・
契約者</t>
        </is>
      </c>
      <c r="CB4" s="9" t="inlineStr">
        <is>
          <t>雇用契約書</t>
        </is>
      </c>
      <c r="CC4" s="9" t="inlineStr">
        <is>
          <t>人事通知書
(辞令)</t>
        </is>
      </c>
      <c r="CD4" s="9" t="inlineStr">
        <is>
          <t>名札</t>
        </is>
      </c>
      <c r="CE4" s="9" t="inlineStr">
        <is>
          <t>互助会</t>
        </is>
      </c>
      <c r="CF4" s="9" t="inlineStr">
        <is>
          <t>IC発行
番号</t>
        </is>
      </c>
      <c r="CG4" s="9" t="inlineStr">
        <is>
          <t>システム登録
(ミロク)</t>
        </is>
      </c>
      <c r="CH4" s="9" t="inlineStr">
        <is>
          <t>システム登録
(ND)</t>
        </is>
      </c>
      <c r="CI4" s="9" t="inlineStr">
        <is>
          <t>備考</t>
        </is>
      </c>
      <c r="CJ4" s="9" t="inlineStr">
        <is>
          <t>対象手続数</t>
        </is>
      </c>
      <c r="CK4" s="9" t="inlineStr">
        <is>
          <t>名札表記
★入力</t>
        </is>
      </c>
      <c r="CL4" s="9" t="inlineStr">
        <is>
          <t>制服サイズ
★選択</t>
        </is>
      </c>
      <c r="CM4" s="9" t="inlineStr">
        <is>
          <t>在留期限
(外国籍のみ)</t>
        </is>
      </c>
      <c r="CN4" s="9" t="inlineStr">
        <is>
          <t>生年月日
★入力</t>
        </is>
      </c>
      <c r="CO4" s="9" t="inlineStr">
        <is>
          <t>入職時
年齢</t>
        </is>
      </c>
      <c r="CP4" s="9" t="inlineStr">
        <is>
          <t>現在
年齢</t>
        </is>
      </c>
      <c r="CQ4" s="9" t="inlineStr">
        <is>
          <t>雇用契約
担当者★選択</t>
        </is>
      </c>
      <c r="CR4" s="9" t="inlineStr">
        <is>
          <t>社保取得
手続★選択</t>
        </is>
      </c>
      <c r="CS4" s="9" t="inlineStr">
        <is>
          <t>雇保取得
手続★選択</t>
        </is>
      </c>
      <c r="CT4" s="9" t="inlineStr">
        <is>
          <t>現所属
(自動)</t>
        </is>
      </c>
      <c r="CU4" s="9" t="inlineStr">
        <is>
          <t>在籍状況
(自動)</t>
        </is>
      </c>
      <c r="CV4" s="9" t="inlineStr">
        <is>
          <t>イレギュラー
対応メモ</t>
        </is>
      </c>
    </row>
    <row r="5">
      <c r="A5" s="12" t="inlineStr">
        <is>
          <t>○</t>
        </is>
      </c>
      <c r="B5" s="8" t="n"/>
      <c r="C5" s="8">
        <f>IFERROR(INDEX($AG5:$GA5,MATCH("職員番号*",$AG$4:$GA$4,0))&amp;"","")</f>
        <v/>
      </c>
      <c r="D5" s="8">
        <f>IFERROR(INDEX($AG5:$GA5,MATCH("氏名*",$AG$4:$GA$4,0))&amp;"","")</f>
        <v/>
      </c>
      <c r="E5" s="13" t="inlineStr">
        <is>
          <t>男</t>
        </is>
      </c>
      <c r="F5" s="13" t="n"/>
      <c r="G5" s="13" t="inlineStr">
        <is>
          <t>有</t>
        </is>
      </c>
      <c r="H5" s="14" t="n">
        <v>250000</v>
      </c>
      <c r="I5" s="14" t="n">
        <v>0</v>
      </c>
      <c r="J5" s="15">
        <f>IF(AND(H5="",I5=""),"",N(H5)+N(I5))</f>
        <v/>
      </c>
      <c r="K5" s="13" t="n"/>
      <c r="L5" s="13" t="n"/>
      <c r="M5" s="13" t="n"/>
      <c r="N5" s="13" t="n"/>
      <c r="O5" s="13" t="n"/>
      <c r="P5" s="13" t="inlineStr">
        <is>
          <t>新規</t>
        </is>
      </c>
      <c r="Q5" s="13" t="n"/>
      <c r="R5" s="13" t="inlineStr">
        <is>
          <t>新規雇用（その他）</t>
        </is>
      </c>
      <c r="S5" s="13" t="inlineStr">
        <is>
          <t>月給</t>
        </is>
      </c>
      <c r="T5" s="14" t="n">
        <v>250000</v>
      </c>
      <c r="U5" s="13" t="inlineStr">
        <is>
          <t>その他</t>
        </is>
      </c>
      <c r="V5" s="13" t="inlineStr">
        <is>
          <t>サービスの職業</t>
        </is>
      </c>
      <c r="W5" s="13" t="inlineStr">
        <is>
          <t>安定所紹介</t>
        </is>
      </c>
      <c r="X5" s="14" t="n">
        <v>40</v>
      </c>
      <c r="Y5" s="13" t="inlineStr">
        <is>
          <t>無</t>
        </is>
      </c>
      <c r="Z5" s="16" t="n"/>
      <c r="AA5" s="13" t="n"/>
      <c r="AB5" s="13" t="n"/>
      <c r="AC5" s="13" t="n"/>
      <c r="AD5" s="13" t="n"/>
      <c r="AE5" s="13" t="n"/>
      <c r="AG5" t="n">
        <v>1</v>
      </c>
      <c r="AH5" t="inlineStr">
        <is>
          <t>R08</t>
        </is>
      </c>
      <c r="AI5" t="inlineStr">
        <is>
          <t>2026/11</t>
        </is>
      </c>
      <c r="AJ5" t="inlineStr">
        <is>
          <t>入職</t>
        </is>
      </c>
      <c r="AK5" s="17" t="n">
        <v>46327</v>
      </c>
      <c r="AL5" t="inlineStr">
        <is>
          <t>D001</t>
        </is>
      </c>
      <c r="AM5" t="inlineStr">
        <is>
          <t>山田 太郎</t>
        </is>
      </c>
      <c r="AN5" t="inlineStr">
        <is>
          <t>ヤマダ タロウ</t>
        </is>
      </c>
      <c r="AO5" t="inlineStr">
        <is>
          <t>特養A</t>
        </is>
      </c>
      <c r="AP5" t="inlineStr">
        <is>
          <t>001</t>
        </is>
      </c>
      <c r="AQ5" t="inlineStr">
        <is>
          <t>介護職員</t>
        </is>
      </c>
      <c r="AR5" t="inlineStr">
        <is>
          <t>001</t>
        </is>
      </c>
      <c r="AS5" t="inlineStr">
        <is>
          <t>介護福祉士</t>
        </is>
      </c>
      <c r="AT5" t="inlineStr">
        <is>
          <t>正規職員</t>
        </is>
      </c>
      <c r="AU5" t="inlineStr">
        <is>
          <t>001</t>
        </is>
      </c>
      <c r="AW5" t="inlineStr">
        <is>
          <t>ハローワーク</t>
        </is>
      </c>
      <c r="AY5" t="inlineStr">
        <is>
          <t>有</t>
        </is>
      </c>
      <c r="BB5" t="inlineStr">
        <is>
          <t>加入</t>
        </is>
      </c>
      <c r="BC5" t="inlineStr">
        <is>
          <t>加入</t>
        </is>
      </c>
      <c r="BD5" t="inlineStr">
        <is>
          <t>該当</t>
        </is>
      </c>
      <c r="BE5" t="inlineStr">
        <is>
          <t>手続中</t>
        </is>
      </c>
      <c r="BX5" t="inlineStr">
        <is>
          <t>一般</t>
        </is>
      </c>
      <c r="CN5" s="17" t="n">
        <v>33005</v>
      </c>
      <c r="CT5" t="inlineStr">
        <is>
          <t>特養A</t>
        </is>
      </c>
      <c r="CU5" t="inlineStr">
        <is>
          <t>在籍中</t>
        </is>
      </c>
    </row>
    <row r="6">
      <c r="A6" s="12" t="inlineStr">
        <is>
          <t>○</t>
        </is>
      </c>
      <c r="B6" s="8" t="n"/>
      <c r="C6" s="8">
        <f>IFERROR(INDEX($AG6:$GA6,MATCH("職員番号*",$AG$4:$GA$4,0))&amp;"","")</f>
        <v/>
      </c>
      <c r="D6" s="8">
        <f>IFERROR(INDEX($AG6:$GA6,MATCH("氏名*",$AG$4:$GA$4,0))&amp;"","")</f>
        <v/>
      </c>
      <c r="E6" s="13" t="inlineStr">
        <is>
          <t>女</t>
        </is>
      </c>
      <c r="F6" s="13" t="n"/>
      <c r="G6" s="13" t="inlineStr">
        <is>
          <t>無</t>
        </is>
      </c>
      <c r="H6" s="14" t="n">
        <v>210000</v>
      </c>
      <c r="I6" s="14" t="n">
        <v>0</v>
      </c>
      <c r="J6" s="15">
        <f>IF(AND(H6="",I6=""),"",N(H6)+N(I6))</f>
        <v/>
      </c>
      <c r="K6" s="13" t="n"/>
      <c r="L6" s="13" t="n"/>
      <c r="M6" s="13" t="n"/>
      <c r="N6" s="13" t="n"/>
      <c r="O6" s="13" t="inlineStr">
        <is>
          <t>NGUYEN THI HOA</t>
        </is>
      </c>
      <c r="P6" s="13" t="inlineStr">
        <is>
          <t>新規</t>
        </is>
      </c>
      <c r="Q6" s="13" t="n"/>
      <c r="R6" s="13" t="inlineStr">
        <is>
          <t>新規雇用（その他）</t>
        </is>
      </c>
      <c r="S6" s="13" t="inlineStr">
        <is>
          <t>月給</t>
        </is>
      </c>
      <c r="T6" s="14" t="n">
        <v>210000</v>
      </c>
      <c r="U6" s="13" t="inlineStr">
        <is>
          <t>有期契約労働者</t>
        </is>
      </c>
      <c r="V6" s="13" t="inlineStr">
        <is>
          <t>サービスの職業</t>
        </is>
      </c>
      <c r="W6" s="13" t="inlineStr">
        <is>
          <t>民間紹介</t>
        </is>
      </c>
      <c r="X6" s="14" t="n">
        <v>40</v>
      </c>
      <c r="Y6" s="13" t="inlineStr">
        <is>
          <t>有</t>
        </is>
      </c>
      <c r="Z6" s="16" t="n">
        <v>46327</v>
      </c>
      <c r="AA6" s="13" t="inlineStr">
        <is>
          <t>有</t>
        </is>
      </c>
      <c r="AB6" s="13" t="inlineStr">
        <is>
          <t>ベトナム</t>
        </is>
      </c>
      <c r="AC6" s="13" t="inlineStr">
        <is>
          <t>無</t>
        </is>
      </c>
      <c r="AD6" s="13" t="inlineStr">
        <is>
          <t>非該当</t>
        </is>
      </c>
      <c r="AE6" s="13" t="inlineStr">
        <is>
          <t>AB12345678CD</t>
        </is>
      </c>
      <c r="AG6" t="n">
        <v>2</v>
      </c>
      <c r="AH6" t="inlineStr">
        <is>
          <t>R08</t>
        </is>
      </c>
      <c r="AI6" t="inlineStr">
        <is>
          <t>2026/11</t>
        </is>
      </c>
      <c r="AJ6" t="inlineStr">
        <is>
          <t>入職</t>
        </is>
      </c>
      <c r="AK6" s="17" t="n">
        <v>46327</v>
      </c>
      <c r="AL6" t="inlineStr">
        <is>
          <t>D002</t>
        </is>
      </c>
      <c r="AM6" t="inlineStr">
        <is>
          <t>グエン ティホア</t>
        </is>
      </c>
      <c r="AN6" t="inlineStr">
        <is>
          <t>グエン ティホア</t>
        </is>
      </c>
      <c r="AO6" t="inlineStr">
        <is>
          <t>特養A</t>
        </is>
      </c>
      <c r="AP6" t="inlineStr">
        <is>
          <t>001</t>
        </is>
      </c>
      <c r="AQ6" t="inlineStr">
        <is>
          <t>介護職員</t>
        </is>
      </c>
      <c r="AR6" t="inlineStr">
        <is>
          <t>001</t>
        </is>
      </c>
      <c r="AS6" t="inlineStr">
        <is>
          <t>無資格</t>
        </is>
      </c>
      <c r="AT6" t="inlineStr">
        <is>
          <t>準職員</t>
        </is>
      </c>
      <c r="AU6" t="inlineStr">
        <is>
          <t>002</t>
        </is>
      </c>
      <c r="AV6" t="inlineStr">
        <is>
          <t>特定技能</t>
        </is>
      </c>
      <c r="AW6" t="inlineStr">
        <is>
          <t>紹介会社</t>
        </is>
      </c>
      <c r="AX6" t="inlineStr">
        <is>
          <t>ダミー紹介社</t>
        </is>
      </c>
      <c r="AY6" t="inlineStr">
        <is>
          <t>有</t>
        </is>
      </c>
      <c r="AZ6" s="17" t="n">
        <v>46691</v>
      </c>
      <c r="BA6" t="inlineStr">
        <is>
          <t>有</t>
        </is>
      </c>
      <c r="BB6" t="inlineStr">
        <is>
          <t>加入</t>
        </is>
      </c>
      <c r="BC6" t="inlineStr">
        <is>
          <t>加入</t>
        </is>
      </c>
      <c r="BD6" t="inlineStr">
        <is>
          <t>非該当</t>
        </is>
      </c>
      <c r="BE6" t="inlineStr">
        <is>
          <t>手続中</t>
        </is>
      </c>
      <c r="BX6" t="inlineStr">
        <is>
          <t>一般</t>
        </is>
      </c>
      <c r="CM6" s="17" t="n">
        <v>46691</v>
      </c>
      <c r="CN6" s="17" t="n">
        <v>35829</v>
      </c>
      <c r="CT6" t="inlineStr">
        <is>
          <t>特養A</t>
        </is>
      </c>
      <c r="CU6" t="inlineStr">
        <is>
          <t>在籍中</t>
        </is>
      </c>
    </row>
    <row r="7">
      <c r="A7" s="12" t="inlineStr">
        <is>
          <t>○</t>
        </is>
      </c>
      <c r="B7" s="8" t="n"/>
      <c r="C7" s="8">
        <f>IFERROR(INDEX($AG7:$GA7,MATCH("職員番号*",$AG$4:$GA$4,0))&amp;"","")</f>
        <v/>
      </c>
      <c r="D7" s="8">
        <f>IFERROR(INDEX($AG7:$GA7,MATCH("氏名*",$AG$4:$GA$4,0))&amp;"","")</f>
        <v/>
      </c>
      <c r="E7" s="13" t="inlineStr">
        <is>
          <t>女</t>
        </is>
      </c>
      <c r="F7" s="13" t="n"/>
      <c r="G7" s="13" t="inlineStr">
        <is>
          <t>無</t>
        </is>
      </c>
      <c r="H7" s="14" t="n">
        <v>120000</v>
      </c>
      <c r="I7" s="14" t="n">
        <v>0</v>
      </c>
      <c r="J7" s="15">
        <f>IF(AND(H7="",I7=""),"",N(H7)+N(I7))</f>
        <v/>
      </c>
      <c r="K7" s="13" t="inlineStr">
        <is>
          <t>70歳以上被用者該当</t>
        </is>
      </c>
      <c r="L7" s="13" t="n"/>
      <c r="M7" s="13" t="n"/>
      <c r="N7" s="13" t="n"/>
      <c r="O7" s="13" t="n"/>
      <c r="P7" s="13" t="inlineStr">
        <is>
          <t>新規</t>
        </is>
      </c>
      <c r="Q7" s="13" t="n"/>
      <c r="R7" s="13" t="inlineStr">
        <is>
          <t>新規雇用（その他）</t>
        </is>
      </c>
      <c r="S7" s="13" t="inlineStr">
        <is>
          <t>時間給</t>
        </is>
      </c>
      <c r="T7" s="14" t="n">
        <v>120000</v>
      </c>
      <c r="U7" s="13" t="inlineStr">
        <is>
          <t>パートタイム</t>
        </is>
      </c>
      <c r="V7" s="13" t="inlineStr">
        <is>
          <t>事務的職業</t>
        </is>
      </c>
      <c r="W7" s="13" t="inlineStr">
        <is>
          <t>自己就職</t>
        </is>
      </c>
      <c r="X7" s="14" t="n">
        <v>25</v>
      </c>
      <c r="Y7" s="13" t="inlineStr">
        <is>
          <t>有</t>
        </is>
      </c>
      <c r="Z7" s="16" t="n">
        <v>46342</v>
      </c>
      <c r="AA7" s="13" t="inlineStr">
        <is>
          <t>有</t>
        </is>
      </c>
      <c r="AB7" s="13" t="n"/>
      <c r="AC7" s="13" t="n"/>
      <c r="AD7" s="13" t="n"/>
      <c r="AE7" s="13" t="n"/>
      <c r="AG7" t="n">
        <v>3</v>
      </c>
      <c r="AH7" t="inlineStr">
        <is>
          <t>R08</t>
        </is>
      </c>
      <c r="AI7" t="inlineStr">
        <is>
          <t>2026/11</t>
        </is>
      </c>
      <c r="AJ7" t="inlineStr">
        <is>
          <t>入職</t>
        </is>
      </c>
      <c r="AK7" s="17" t="n">
        <v>46342</v>
      </c>
      <c r="AL7" t="inlineStr">
        <is>
          <t>D003</t>
        </is>
      </c>
      <c r="AM7" t="inlineStr">
        <is>
          <t>佐藤 花子</t>
        </is>
      </c>
      <c r="AN7" t="inlineStr">
        <is>
          <t>さとう はなこ</t>
        </is>
      </c>
      <c r="AO7" t="inlineStr">
        <is>
          <t>事務局</t>
        </is>
      </c>
      <c r="AP7" t="inlineStr">
        <is>
          <t>009</t>
        </is>
      </c>
      <c r="AQ7" t="inlineStr">
        <is>
          <t>事務員</t>
        </is>
      </c>
      <c r="AR7" t="inlineStr">
        <is>
          <t>010</t>
        </is>
      </c>
      <c r="AS7" t="inlineStr">
        <is>
          <t>無資格</t>
        </is>
      </c>
      <c r="AT7" t="inlineStr">
        <is>
          <t>パート</t>
        </is>
      </c>
      <c r="AU7" t="inlineStr">
        <is>
          <t>004</t>
        </is>
      </c>
      <c r="AW7" t="inlineStr">
        <is>
          <t>知人紹介</t>
        </is>
      </c>
      <c r="AY7" t="inlineStr">
        <is>
          <t>無</t>
        </is>
      </c>
      <c r="AZ7" s="17" t="n">
        <v>46477</v>
      </c>
      <c r="BA7" t="inlineStr">
        <is>
          <t>有</t>
        </is>
      </c>
      <c r="BB7" t="inlineStr">
        <is>
          <t>加入</t>
        </is>
      </c>
      <c r="BC7" t="inlineStr">
        <is>
          <t>加入</t>
        </is>
      </c>
      <c r="BE7" t="inlineStr">
        <is>
          <t>手続中</t>
        </is>
      </c>
      <c r="BX7" t="inlineStr">
        <is>
          <t>一般</t>
        </is>
      </c>
      <c r="CN7" s="17" t="n">
        <v>20321</v>
      </c>
      <c r="CT7" t="inlineStr">
        <is>
          <t>事務局</t>
        </is>
      </c>
      <c r="CU7" t="inlineStr">
        <is>
          <t>在籍中</t>
        </is>
      </c>
    </row>
    <row r="8">
      <c r="A8" s="12" t="n"/>
      <c r="B8" s="8" t="n"/>
      <c r="C8" s="8">
        <f>IFERROR(INDEX($AG8:$GA8,MATCH("職員番号*",$AG$4:$GA$4,0))&amp;"","")</f>
        <v/>
      </c>
      <c r="D8" s="8">
        <f>IFERROR(INDEX($AG8:$GA8,MATCH("氏名*",$AG$4:$GA$4,0))&amp;"","")</f>
        <v/>
      </c>
      <c r="E8" s="13" t="n"/>
      <c r="F8" s="13" t="n"/>
      <c r="G8" s="13" t="n"/>
      <c r="H8" s="14" t="n"/>
      <c r="I8" s="14" t="n"/>
      <c r="J8" s="15">
        <f>IF(AND(H8="",I8=""),"",N(H8)+N(I8))</f>
        <v/>
      </c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4" t="n"/>
      <c r="U8" s="13" t="n"/>
      <c r="V8" s="13" t="n"/>
      <c r="W8" s="13" t="n"/>
      <c r="X8" s="14" t="n"/>
      <c r="Y8" s="13" t="n"/>
      <c r="Z8" s="16" t="n"/>
      <c r="AA8" s="13" t="n"/>
      <c r="AB8" s="13" t="n"/>
      <c r="AC8" s="13" t="n"/>
      <c r="AD8" s="13" t="n"/>
      <c r="AE8" s="13" t="n"/>
    </row>
    <row r="9">
      <c r="A9" s="12" t="n"/>
      <c r="B9" s="8" t="n"/>
      <c r="C9" s="8">
        <f>IFERROR(INDEX($AG9:$GA9,MATCH("職員番号*",$AG$4:$GA$4,0))&amp;"","")</f>
        <v/>
      </c>
      <c r="D9" s="8">
        <f>IFERROR(INDEX($AG9:$GA9,MATCH("氏名*",$AG$4:$GA$4,0))&amp;"","")</f>
        <v/>
      </c>
      <c r="E9" s="13" t="n"/>
      <c r="F9" s="13" t="n"/>
      <c r="G9" s="13" t="n"/>
      <c r="H9" s="14" t="n"/>
      <c r="I9" s="14" t="n"/>
      <c r="J9" s="15">
        <f>IF(AND(H9="",I9=""),"",N(H9)+N(I9))</f>
        <v/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4" t="n"/>
      <c r="U9" s="13" t="n"/>
      <c r="V9" s="13" t="n"/>
      <c r="W9" s="13" t="n"/>
      <c r="X9" s="14" t="n"/>
      <c r="Y9" s="13" t="n"/>
      <c r="Z9" s="16" t="n"/>
      <c r="AA9" s="13" t="n"/>
      <c r="AB9" s="13" t="n"/>
      <c r="AC9" s="13" t="n"/>
      <c r="AD9" s="13" t="n"/>
      <c r="AE9" s="13" t="n"/>
    </row>
    <row r="10">
      <c r="A10" s="12" t="n"/>
      <c r="B10" s="8" t="n"/>
      <c r="C10" s="8">
        <f>IFERROR(INDEX($AG10:$GA10,MATCH("職員番号*",$AG$4:$GA$4,0))&amp;"","")</f>
        <v/>
      </c>
      <c r="D10" s="8">
        <f>IFERROR(INDEX($AG10:$GA10,MATCH("氏名*",$AG$4:$GA$4,0))&amp;"","")</f>
        <v/>
      </c>
      <c r="E10" s="13" t="n"/>
      <c r="F10" s="13" t="n"/>
      <c r="G10" s="13" t="n"/>
      <c r="H10" s="14" t="n"/>
      <c r="I10" s="14" t="n"/>
      <c r="J10" s="15">
        <f>IF(AND(H10="",I10=""),"",N(H10)+N(I10))</f>
        <v/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4" t="n"/>
      <c r="U10" s="13" t="n"/>
      <c r="V10" s="13" t="n"/>
      <c r="W10" s="13" t="n"/>
      <c r="X10" s="14" t="n"/>
      <c r="Y10" s="13" t="n"/>
      <c r="Z10" s="16" t="n"/>
      <c r="AA10" s="13" t="n"/>
      <c r="AB10" s="13" t="n"/>
      <c r="AC10" s="13" t="n"/>
      <c r="AD10" s="13" t="n"/>
      <c r="AE10" s="13" t="n"/>
    </row>
    <row r="11">
      <c r="A11" s="12" t="n"/>
      <c r="B11" s="8" t="n"/>
      <c r="C11" s="8">
        <f>IFERROR(INDEX($AG11:$GA11,MATCH("職員番号*",$AG$4:$GA$4,0))&amp;"","")</f>
        <v/>
      </c>
      <c r="D11" s="8">
        <f>IFERROR(INDEX($AG11:$GA11,MATCH("氏名*",$AG$4:$GA$4,0))&amp;"","")</f>
        <v/>
      </c>
      <c r="E11" s="13" t="n"/>
      <c r="F11" s="13" t="n"/>
      <c r="G11" s="13" t="n"/>
      <c r="H11" s="14" t="n"/>
      <c r="I11" s="14" t="n"/>
      <c r="J11" s="15">
        <f>IF(AND(H11="",I11=""),"",N(H11)+N(I11))</f>
        <v/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4" t="n"/>
      <c r="U11" s="13" t="n"/>
      <c r="V11" s="13" t="n"/>
      <c r="W11" s="13" t="n"/>
      <c r="X11" s="14" t="n"/>
      <c r="Y11" s="13" t="n"/>
      <c r="Z11" s="16" t="n"/>
      <c r="AA11" s="13" t="n"/>
      <c r="AB11" s="13" t="n"/>
      <c r="AC11" s="13" t="n"/>
      <c r="AD11" s="13" t="n"/>
      <c r="AE11" s="13" t="n"/>
    </row>
    <row r="12">
      <c r="A12" s="12" t="n"/>
      <c r="B12" s="8" t="n"/>
      <c r="C12" s="8">
        <f>IFERROR(INDEX($AG12:$GA12,MATCH("職員番号*",$AG$4:$GA$4,0))&amp;"","")</f>
        <v/>
      </c>
      <c r="D12" s="8">
        <f>IFERROR(INDEX($AG12:$GA12,MATCH("氏名*",$AG$4:$GA$4,0))&amp;"","")</f>
        <v/>
      </c>
      <c r="E12" s="13" t="n"/>
      <c r="F12" s="13" t="n"/>
      <c r="G12" s="13" t="n"/>
      <c r="H12" s="14" t="n"/>
      <c r="I12" s="14" t="n"/>
      <c r="J12" s="15">
        <f>IF(AND(H12="",I12=""),"",N(H12)+N(I12))</f>
        <v/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4" t="n"/>
      <c r="U12" s="13" t="n"/>
      <c r="V12" s="13" t="n"/>
      <c r="W12" s="13" t="n"/>
      <c r="X12" s="14" t="n"/>
      <c r="Y12" s="13" t="n"/>
      <c r="Z12" s="16" t="n"/>
      <c r="AA12" s="13" t="n"/>
      <c r="AB12" s="13" t="n"/>
      <c r="AC12" s="13" t="n"/>
      <c r="AD12" s="13" t="n"/>
      <c r="AE12" s="13" t="n"/>
    </row>
    <row r="13">
      <c r="A13" s="12" t="n"/>
      <c r="B13" s="8" t="n"/>
      <c r="C13" s="8">
        <f>IFERROR(INDEX($AG13:$GA13,MATCH("職員番号*",$AG$4:$GA$4,0))&amp;"","")</f>
        <v/>
      </c>
      <c r="D13" s="8">
        <f>IFERROR(INDEX($AG13:$GA13,MATCH("氏名*",$AG$4:$GA$4,0))&amp;"","")</f>
        <v/>
      </c>
      <c r="E13" s="13" t="n"/>
      <c r="F13" s="13" t="n"/>
      <c r="G13" s="13" t="n"/>
      <c r="H13" s="14" t="n"/>
      <c r="I13" s="14" t="n"/>
      <c r="J13" s="15">
        <f>IF(AND(H13="",I13=""),"",N(H13)+N(I13))</f>
        <v/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4" t="n"/>
      <c r="U13" s="13" t="n"/>
      <c r="V13" s="13" t="n"/>
      <c r="W13" s="13" t="n"/>
      <c r="X13" s="14" t="n"/>
      <c r="Y13" s="13" t="n"/>
      <c r="Z13" s="16" t="n"/>
      <c r="AA13" s="13" t="n"/>
      <c r="AB13" s="13" t="n"/>
      <c r="AC13" s="13" t="n"/>
      <c r="AD13" s="13" t="n"/>
      <c r="AE13" s="13" t="n"/>
    </row>
    <row r="14">
      <c r="A14" s="12" t="n"/>
      <c r="B14" s="8" t="n"/>
      <c r="C14" s="8">
        <f>IFERROR(INDEX($AG14:$GA14,MATCH("職員番号*",$AG$4:$GA$4,0))&amp;"","")</f>
        <v/>
      </c>
      <c r="D14" s="8">
        <f>IFERROR(INDEX($AG14:$GA14,MATCH("氏名*",$AG$4:$GA$4,0))&amp;"","")</f>
        <v/>
      </c>
      <c r="E14" s="13" t="n"/>
      <c r="F14" s="13" t="n"/>
      <c r="G14" s="13" t="n"/>
      <c r="H14" s="14" t="n"/>
      <c r="I14" s="14" t="n"/>
      <c r="J14" s="15">
        <f>IF(AND(H14="",I14=""),"",N(H14)+N(I14))</f>
        <v/>
      </c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4" t="n"/>
      <c r="U14" s="13" t="n"/>
      <c r="V14" s="13" t="n"/>
      <c r="W14" s="13" t="n"/>
      <c r="X14" s="14" t="n"/>
      <c r="Y14" s="13" t="n"/>
      <c r="Z14" s="16" t="n"/>
      <c r="AA14" s="13" t="n"/>
      <c r="AB14" s="13" t="n"/>
      <c r="AC14" s="13" t="n"/>
      <c r="AD14" s="13" t="n"/>
      <c r="AE14" s="13" t="n"/>
    </row>
    <row r="15">
      <c r="A15" s="12" t="n"/>
      <c r="B15" s="8" t="n"/>
      <c r="C15" s="8">
        <f>IFERROR(INDEX($AG15:$GA15,MATCH("職員番号*",$AG$4:$GA$4,0))&amp;"","")</f>
        <v/>
      </c>
      <c r="D15" s="8">
        <f>IFERROR(INDEX($AG15:$GA15,MATCH("氏名*",$AG$4:$GA$4,0))&amp;"","")</f>
        <v/>
      </c>
      <c r="E15" s="13" t="n"/>
      <c r="F15" s="13" t="n"/>
      <c r="G15" s="13" t="n"/>
      <c r="H15" s="14" t="n"/>
      <c r="I15" s="14" t="n"/>
      <c r="J15" s="15">
        <f>IF(AND(H15="",I15=""),"",N(H15)+N(I15))</f>
        <v/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4" t="n"/>
      <c r="U15" s="13" t="n"/>
      <c r="V15" s="13" t="n"/>
      <c r="W15" s="13" t="n"/>
      <c r="X15" s="14" t="n"/>
      <c r="Y15" s="13" t="n"/>
      <c r="Z15" s="16" t="n"/>
      <c r="AA15" s="13" t="n"/>
      <c r="AB15" s="13" t="n"/>
      <c r="AC15" s="13" t="n"/>
      <c r="AD15" s="13" t="n"/>
      <c r="AE15" s="13" t="n"/>
    </row>
    <row r="16">
      <c r="A16" s="12" t="n"/>
      <c r="B16" s="8" t="n"/>
      <c r="C16" s="8">
        <f>IFERROR(INDEX($AG16:$GA16,MATCH("職員番号*",$AG$4:$GA$4,0))&amp;"","")</f>
        <v/>
      </c>
      <c r="D16" s="8">
        <f>IFERROR(INDEX($AG16:$GA16,MATCH("氏名*",$AG$4:$GA$4,0))&amp;"","")</f>
        <v/>
      </c>
      <c r="E16" s="13" t="n"/>
      <c r="F16" s="13" t="n"/>
      <c r="G16" s="13" t="n"/>
      <c r="H16" s="14" t="n"/>
      <c r="I16" s="14" t="n"/>
      <c r="J16" s="15">
        <f>IF(AND(H16="",I16=""),"",N(H16)+N(I16))</f>
        <v/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4" t="n"/>
      <c r="U16" s="13" t="n"/>
      <c r="V16" s="13" t="n"/>
      <c r="W16" s="13" t="n"/>
      <c r="X16" s="14" t="n"/>
      <c r="Y16" s="13" t="n"/>
      <c r="Z16" s="16" t="n"/>
      <c r="AA16" s="13" t="n"/>
      <c r="AB16" s="13" t="n"/>
      <c r="AC16" s="13" t="n"/>
      <c r="AD16" s="13" t="n"/>
      <c r="AE16" s="13" t="n"/>
    </row>
    <row r="17">
      <c r="A17" s="12" t="n"/>
      <c r="B17" s="8" t="n"/>
      <c r="C17" s="8">
        <f>IFERROR(INDEX($AG17:$GA17,MATCH("職員番号*",$AG$4:$GA$4,0))&amp;"","")</f>
        <v/>
      </c>
      <c r="D17" s="8">
        <f>IFERROR(INDEX($AG17:$GA17,MATCH("氏名*",$AG$4:$GA$4,0))&amp;"","")</f>
        <v/>
      </c>
      <c r="E17" s="13" t="n"/>
      <c r="F17" s="13" t="n"/>
      <c r="G17" s="13" t="n"/>
      <c r="H17" s="14" t="n"/>
      <c r="I17" s="14" t="n"/>
      <c r="J17" s="15">
        <f>IF(AND(H17="",I17=""),"",N(H17)+N(I17))</f>
        <v/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4" t="n"/>
      <c r="U17" s="13" t="n"/>
      <c r="V17" s="13" t="n"/>
      <c r="W17" s="13" t="n"/>
      <c r="X17" s="14" t="n"/>
      <c r="Y17" s="13" t="n"/>
      <c r="Z17" s="16" t="n"/>
      <c r="AA17" s="13" t="n"/>
      <c r="AB17" s="13" t="n"/>
      <c r="AC17" s="13" t="n"/>
      <c r="AD17" s="13" t="n"/>
      <c r="AE17" s="13" t="n"/>
    </row>
    <row r="18">
      <c r="A18" s="12" t="n"/>
      <c r="B18" s="8" t="n"/>
      <c r="C18" s="8">
        <f>IFERROR(INDEX($AG18:$GA18,MATCH("職員番号*",$AG$4:$GA$4,0))&amp;"","")</f>
        <v/>
      </c>
      <c r="D18" s="8">
        <f>IFERROR(INDEX($AG18:$GA18,MATCH("氏名*",$AG$4:$GA$4,0))&amp;"","")</f>
        <v/>
      </c>
      <c r="E18" s="13" t="n"/>
      <c r="F18" s="13" t="n"/>
      <c r="G18" s="13" t="n"/>
      <c r="H18" s="14" t="n"/>
      <c r="I18" s="14" t="n"/>
      <c r="J18" s="15">
        <f>IF(AND(H18="",I18=""),"",N(H18)+N(I18))</f>
        <v/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4" t="n"/>
      <c r="U18" s="13" t="n"/>
      <c r="V18" s="13" t="n"/>
      <c r="W18" s="13" t="n"/>
      <c r="X18" s="14" t="n"/>
      <c r="Y18" s="13" t="n"/>
      <c r="Z18" s="16" t="n"/>
      <c r="AA18" s="13" t="n"/>
      <c r="AB18" s="13" t="n"/>
      <c r="AC18" s="13" t="n"/>
      <c r="AD18" s="13" t="n"/>
      <c r="AE18" s="13" t="n"/>
    </row>
    <row r="19">
      <c r="A19" s="12" t="n"/>
      <c r="B19" s="8" t="n"/>
      <c r="C19" s="8">
        <f>IFERROR(INDEX($AG19:$GA19,MATCH("職員番号*",$AG$4:$GA$4,0))&amp;"","")</f>
        <v/>
      </c>
      <c r="D19" s="8">
        <f>IFERROR(INDEX($AG19:$GA19,MATCH("氏名*",$AG$4:$GA$4,0))&amp;"","")</f>
        <v/>
      </c>
      <c r="E19" s="13" t="n"/>
      <c r="F19" s="13" t="n"/>
      <c r="G19" s="13" t="n"/>
      <c r="H19" s="14" t="n"/>
      <c r="I19" s="14" t="n"/>
      <c r="J19" s="15">
        <f>IF(AND(H19="",I19=""),"",N(H19)+N(I19))</f>
        <v/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4" t="n"/>
      <c r="U19" s="13" t="n"/>
      <c r="V19" s="13" t="n"/>
      <c r="W19" s="13" t="n"/>
      <c r="X19" s="14" t="n"/>
      <c r="Y19" s="13" t="n"/>
      <c r="Z19" s="16" t="n"/>
      <c r="AA19" s="13" t="n"/>
      <c r="AB19" s="13" t="n"/>
      <c r="AC19" s="13" t="n"/>
      <c r="AD19" s="13" t="n"/>
      <c r="AE19" s="13" t="n"/>
    </row>
    <row r="20">
      <c r="A20" s="12" t="n"/>
      <c r="B20" s="8" t="n"/>
      <c r="C20" s="8">
        <f>IFERROR(INDEX($AG20:$GA20,MATCH("職員番号*",$AG$4:$GA$4,0))&amp;"","")</f>
        <v/>
      </c>
      <c r="D20" s="8">
        <f>IFERROR(INDEX($AG20:$GA20,MATCH("氏名*",$AG$4:$GA$4,0))&amp;"","")</f>
        <v/>
      </c>
      <c r="E20" s="13" t="n"/>
      <c r="F20" s="13" t="n"/>
      <c r="G20" s="13" t="n"/>
      <c r="H20" s="14" t="n"/>
      <c r="I20" s="14" t="n"/>
      <c r="J20" s="15">
        <f>IF(AND(H20="",I20=""),"",N(H20)+N(I20))</f>
        <v/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4" t="n"/>
      <c r="U20" s="13" t="n"/>
      <c r="V20" s="13" t="n"/>
      <c r="W20" s="13" t="n"/>
      <c r="X20" s="14" t="n"/>
      <c r="Y20" s="13" t="n"/>
      <c r="Z20" s="16" t="n"/>
      <c r="AA20" s="13" t="n"/>
      <c r="AB20" s="13" t="n"/>
      <c r="AC20" s="13" t="n"/>
      <c r="AD20" s="13" t="n"/>
      <c r="AE20" s="13" t="n"/>
    </row>
    <row r="21">
      <c r="A21" s="12" t="n"/>
      <c r="B21" s="8" t="n"/>
      <c r="C21" s="8">
        <f>IFERROR(INDEX($AG21:$GA21,MATCH("職員番号*",$AG$4:$GA$4,0))&amp;"","")</f>
        <v/>
      </c>
      <c r="D21" s="8">
        <f>IFERROR(INDEX($AG21:$GA21,MATCH("氏名*",$AG$4:$GA$4,0))&amp;"","")</f>
        <v/>
      </c>
      <c r="E21" s="13" t="n"/>
      <c r="F21" s="13" t="n"/>
      <c r="G21" s="13" t="n"/>
      <c r="H21" s="14" t="n"/>
      <c r="I21" s="14" t="n"/>
      <c r="J21" s="15">
        <f>IF(AND(H21="",I21=""),"",N(H21)+N(I21))</f>
        <v/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4" t="n"/>
      <c r="U21" s="13" t="n"/>
      <c r="V21" s="13" t="n"/>
      <c r="W21" s="13" t="n"/>
      <c r="X21" s="14" t="n"/>
      <c r="Y21" s="13" t="n"/>
      <c r="Z21" s="16" t="n"/>
      <c r="AA21" s="13" t="n"/>
      <c r="AB21" s="13" t="n"/>
      <c r="AC21" s="13" t="n"/>
      <c r="AD21" s="13" t="n"/>
      <c r="AE21" s="13" t="n"/>
    </row>
    <row r="22">
      <c r="A22" s="12" t="n"/>
      <c r="B22" s="8" t="n"/>
      <c r="C22" s="8">
        <f>IFERROR(INDEX($AG22:$GA22,MATCH("職員番号*",$AG$4:$GA$4,0))&amp;"","")</f>
        <v/>
      </c>
      <c r="D22" s="8">
        <f>IFERROR(INDEX($AG22:$GA22,MATCH("氏名*",$AG$4:$GA$4,0))&amp;"","")</f>
        <v/>
      </c>
      <c r="E22" s="13" t="n"/>
      <c r="F22" s="13" t="n"/>
      <c r="G22" s="13" t="n"/>
      <c r="H22" s="14" t="n"/>
      <c r="I22" s="14" t="n"/>
      <c r="J22" s="15">
        <f>IF(AND(H22="",I22=""),"",N(H22)+N(I22))</f>
        <v/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4" t="n"/>
      <c r="U22" s="13" t="n"/>
      <c r="V22" s="13" t="n"/>
      <c r="W22" s="13" t="n"/>
      <c r="X22" s="14" t="n"/>
      <c r="Y22" s="13" t="n"/>
      <c r="Z22" s="16" t="n"/>
      <c r="AA22" s="13" t="n"/>
      <c r="AB22" s="13" t="n"/>
      <c r="AC22" s="13" t="n"/>
      <c r="AD22" s="13" t="n"/>
      <c r="AE22" s="13" t="n"/>
    </row>
    <row r="23">
      <c r="A23" s="12" t="n"/>
      <c r="B23" s="8" t="n"/>
      <c r="C23" s="8">
        <f>IFERROR(INDEX($AG23:$GA23,MATCH("職員番号*",$AG$4:$GA$4,0))&amp;"","")</f>
        <v/>
      </c>
      <c r="D23" s="8">
        <f>IFERROR(INDEX($AG23:$GA23,MATCH("氏名*",$AG$4:$GA$4,0))&amp;"","")</f>
        <v/>
      </c>
      <c r="E23" s="13" t="n"/>
      <c r="F23" s="13" t="n"/>
      <c r="G23" s="13" t="n"/>
      <c r="H23" s="14" t="n"/>
      <c r="I23" s="14" t="n"/>
      <c r="J23" s="15">
        <f>IF(AND(H23="",I23=""),"",N(H23)+N(I23))</f>
        <v/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4" t="n"/>
      <c r="U23" s="13" t="n"/>
      <c r="V23" s="13" t="n"/>
      <c r="W23" s="13" t="n"/>
      <c r="X23" s="14" t="n"/>
      <c r="Y23" s="13" t="n"/>
      <c r="Z23" s="16" t="n"/>
      <c r="AA23" s="13" t="n"/>
      <c r="AB23" s="13" t="n"/>
      <c r="AC23" s="13" t="n"/>
      <c r="AD23" s="13" t="n"/>
      <c r="AE23" s="13" t="n"/>
    </row>
    <row r="24">
      <c r="A24" s="12" t="n"/>
      <c r="B24" s="8" t="n"/>
      <c r="C24" s="8">
        <f>IFERROR(INDEX($AG24:$GA24,MATCH("職員番号*",$AG$4:$GA$4,0))&amp;"","")</f>
        <v/>
      </c>
      <c r="D24" s="8">
        <f>IFERROR(INDEX($AG24:$GA24,MATCH("氏名*",$AG$4:$GA$4,0))&amp;"","")</f>
        <v/>
      </c>
      <c r="E24" s="13" t="n"/>
      <c r="F24" s="13" t="n"/>
      <c r="G24" s="13" t="n"/>
      <c r="H24" s="14" t="n"/>
      <c r="I24" s="14" t="n"/>
      <c r="J24" s="15">
        <f>IF(AND(H24="",I24=""),"",N(H24)+N(I24))</f>
        <v/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4" t="n"/>
      <c r="U24" s="13" t="n"/>
      <c r="V24" s="13" t="n"/>
      <c r="W24" s="13" t="n"/>
      <c r="X24" s="14" t="n"/>
      <c r="Y24" s="13" t="n"/>
      <c r="Z24" s="16" t="n"/>
      <c r="AA24" s="13" t="n"/>
      <c r="AB24" s="13" t="n"/>
      <c r="AC24" s="13" t="n"/>
      <c r="AD24" s="13" t="n"/>
      <c r="AE24" s="13" t="n"/>
    </row>
    <row r="25">
      <c r="A25" s="12" t="n"/>
      <c r="B25" s="8" t="n"/>
      <c r="C25" s="8">
        <f>IFERROR(INDEX($AG25:$GA25,MATCH("職員番号*",$AG$4:$GA$4,0))&amp;"","")</f>
        <v/>
      </c>
      <c r="D25" s="8">
        <f>IFERROR(INDEX($AG25:$GA25,MATCH("氏名*",$AG$4:$GA$4,0))&amp;"","")</f>
        <v/>
      </c>
      <c r="E25" s="13" t="n"/>
      <c r="F25" s="13" t="n"/>
      <c r="G25" s="13" t="n"/>
      <c r="H25" s="14" t="n"/>
      <c r="I25" s="14" t="n"/>
      <c r="J25" s="15">
        <f>IF(AND(H25="",I25=""),"",N(H25)+N(I25))</f>
        <v/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4" t="n"/>
      <c r="U25" s="13" t="n"/>
      <c r="V25" s="13" t="n"/>
      <c r="W25" s="13" t="n"/>
      <c r="X25" s="14" t="n"/>
      <c r="Y25" s="13" t="n"/>
      <c r="Z25" s="16" t="n"/>
      <c r="AA25" s="13" t="n"/>
      <c r="AB25" s="13" t="n"/>
      <c r="AC25" s="13" t="n"/>
      <c r="AD25" s="13" t="n"/>
      <c r="AE25" s="13" t="n"/>
    </row>
    <row r="26">
      <c r="A26" s="12" t="n"/>
      <c r="B26" s="8" t="n"/>
      <c r="C26" s="8">
        <f>IFERROR(INDEX($AG26:$GA26,MATCH("職員番号*",$AG$4:$GA$4,0))&amp;"","")</f>
        <v/>
      </c>
      <c r="D26" s="8">
        <f>IFERROR(INDEX($AG26:$GA26,MATCH("氏名*",$AG$4:$GA$4,0))&amp;"","")</f>
        <v/>
      </c>
      <c r="E26" s="13" t="n"/>
      <c r="F26" s="13" t="n"/>
      <c r="G26" s="13" t="n"/>
      <c r="H26" s="14" t="n"/>
      <c r="I26" s="14" t="n"/>
      <c r="J26" s="15">
        <f>IF(AND(H26="",I26=""),"",N(H26)+N(I26))</f>
        <v/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4" t="n"/>
      <c r="U26" s="13" t="n"/>
      <c r="V26" s="13" t="n"/>
      <c r="W26" s="13" t="n"/>
      <c r="X26" s="14" t="n"/>
      <c r="Y26" s="13" t="n"/>
      <c r="Z26" s="16" t="n"/>
      <c r="AA26" s="13" t="n"/>
      <c r="AB26" s="13" t="n"/>
      <c r="AC26" s="13" t="n"/>
      <c r="AD26" s="13" t="n"/>
      <c r="AE26" s="13" t="n"/>
    </row>
    <row r="27">
      <c r="A27" s="12" t="n"/>
      <c r="B27" s="8" t="n"/>
      <c r="C27" s="8">
        <f>IFERROR(INDEX($AG27:$GA27,MATCH("職員番号*",$AG$4:$GA$4,0))&amp;"","")</f>
        <v/>
      </c>
      <c r="D27" s="8">
        <f>IFERROR(INDEX($AG27:$GA27,MATCH("氏名*",$AG$4:$GA$4,0))&amp;"","")</f>
        <v/>
      </c>
      <c r="E27" s="13" t="n"/>
      <c r="F27" s="13" t="n"/>
      <c r="G27" s="13" t="n"/>
      <c r="H27" s="14" t="n"/>
      <c r="I27" s="14" t="n"/>
      <c r="J27" s="15">
        <f>IF(AND(H27="",I27=""),"",N(H27)+N(I27))</f>
        <v/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4" t="n"/>
      <c r="U27" s="13" t="n"/>
      <c r="V27" s="13" t="n"/>
      <c r="W27" s="13" t="n"/>
      <c r="X27" s="14" t="n"/>
      <c r="Y27" s="13" t="n"/>
      <c r="Z27" s="16" t="n"/>
      <c r="AA27" s="13" t="n"/>
      <c r="AB27" s="13" t="n"/>
      <c r="AC27" s="13" t="n"/>
      <c r="AD27" s="13" t="n"/>
      <c r="AE27" s="13" t="n"/>
    </row>
    <row r="28">
      <c r="A28" s="12" t="n"/>
      <c r="B28" s="8" t="n"/>
      <c r="C28" s="8">
        <f>IFERROR(INDEX($AG28:$GA28,MATCH("職員番号*",$AG$4:$GA$4,0))&amp;"","")</f>
        <v/>
      </c>
      <c r="D28" s="8">
        <f>IFERROR(INDEX($AG28:$GA28,MATCH("氏名*",$AG$4:$GA$4,0))&amp;"","")</f>
        <v/>
      </c>
      <c r="E28" s="13" t="n"/>
      <c r="F28" s="13" t="n"/>
      <c r="G28" s="13" t="n"/>
      <c r="H28" s="14" t="n"/>
      <c r="I28" s="14" t="n"/>
      <c r="J28" s="15">
        <f>IF(AND(H28="",I28=""),"",N(H28)+N(I28))</f>
        <v/>
      </c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4" t="n"/>
      <c r="U28" s="13" t="n"/>
      <c r="V28" s="13" t="n"/>
      <c r="W28" s="13" t="n"/>
      <c r="X28" s="14" t="n"/>
      <c r="Y28" s="13" t="n"/>
      <c r="Z28" s="16" t="n"/>
      <c r="AA28" s="13" t="n"/>
      <c r="AB28" s="13" t="n"/>
      <c r="AC28" s="13" t="n"/>
      <c r="AD28" s="13" t="n"/>
      <c r="AE28" s="13" t="n"/>
    </row>
    <row r="29">
      <c r="A29" s="12" t="n"/>
      <c r="B29" s="8" t="n"/>
      <c r="C29" s="8">
        <f>IFERROR(INDEX($AG29:$GA29,MATCH("職員番号*",$AG$4:$GA$4,0))&amp;"","")</f>
        <v/>
      </c>
      <c r="D29" s="8">
        <f>IFERROR(INDEX($AG29:$GA29,MATCH("氏名*",$AG$4:$GA$4,0))&amp;"","")</f>
        <v/>
      </c>
      <c r="E29" s="13" t="n"/>
      <c r="F29" s="13" t="n"/>
      <c r="G29" s="13" t="n"/>
      <c r="H29" s="14" t="n"/>
      <c r="I29" s="14" t="n"/>
      <c r="J29" s="15">
        <f>IF(AND(H29="",I29=""),"",N(H29)+N(I29))</f>
        <v/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4" t="n"/>
      <c r="U29" s="13" t="n"/>
      <c r="V29" s="13" t="n"/>
      <c r="W29" s="13" t="n"/>
      <c r="X29" s="14" t="n"/>
      <c r="Y29" s="13" t="n"/>
      <c r="Z29" s="16" t="n"/>
      <c r="AA29" s="13" t="n"/>
      <c r="AB29" s="13" t="n"/>
      <c r="AC29" s="13" t="n"/>
      <c r="AD29" s="13" t="n"/>
      <c r="AE29" s="13" t="n"/>
    </row>
    <row r="30">
      <c r="A30" s="12" t="n"/>
      <c r="B30" s="8" t="n"/>
      <c r="C30" s="8">
        <f>IFERROR(INDEX($AG30:$GA30,MATCH("職員番号*",$AG$4:$GA$4,0))&amp;"","")</f>
        <v/>
      </c>
      <c r="D30" s="8">
        <f>IFERROR(INDEX($AG30:$GA30,MATCH("氏名*",$AG$4:$GA$4,0))&amp;"","")</f>
        <v/>
      </c>
      <c r="E30" s="13" t="n"/>
      <c r="F30" s="13" t="n"/>
      <c r="G30" s="13" t="n"/>
      <c r="H30" s="14" t="n"/>
      <c r="I30" s="14" t="n"/>
      <c r="J30" s="15">
        <f>IF(AND(H30="",I30=""),"",N(H30)+N(I30))</f>
        <v/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4" t="n"/>
      <c r="U30" s="13" t="n"/>
      <c r="V30" s="13" t="n"/>
      <c r="W30" s="13" t="n"/>
      <c r="X30" s="14" t="n"/>
      <c r="Y30" s="13" t="n"/>
      <c r="Z30" s="16" t="n"/>
      <c r="AA30" s="13" t="n"/>
      <c r="AB30" s="13" t="n"/>
      <c r="AC30" s="13" t="n"/>
      <c r="AD30" s="13" t="n"/>
      <c r="AE30" s="13" t="n"/>
    </row>
    <row r="31">
      <c r="A31" s="12" t="n"/>
      <c r="B31" s="8" t="n"/>
      <c r="C31" s="8">
        <f>IFERROR(INDEX($AG31:$GA31,MATCH("職員番号*",$AG$4:$GA$4,0))&amp;"","")</f>
        <v/>
      </c>
      <c r="D31" s="8">
        <f>IFERROR(INDEX($AG31:$GA31,MATCH("氏名*",$AG$4:$GA$4,0))&amp;"","")</f>
        <v/>
      </c>
      <c r="E31" s="13" t="n"/>
      <c r="F31" s="13" t="n"/>
      <c r="G31" s="13" t="n"/>
      <c r="H31" s="14" t="n"/>
      <c r="I31" s="14" t="n"/>
      <c r="J31" s="15">
        <f>IF(AND(H31="",I31=""),"",N(H31)+N(I31))</f>
        <v/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4" t="n"/>
      <c r="U31" s="13" t="n"/>
      <c r="V31" s="13" t="n"/>
      <c r="W31" s="13" t="n"/>
      <c r="X31" s="14" t="n"/>
      <c r="Y31" s="13" t="n"/>
      <c r="Z31" s="16" t="n"/>
      <c r="AA31" s="13" t="n"/>
      <c r="AB31" s="13" t="n"/>
      <c r="AC31" s="13" t="n"/>
      <c r="AD31" s="13" t="n"/>
      <c r="AE31" s="13" t="n"/>
    </row>
    <row r="32">
      <c r="A32" s="12" t="n"/>
      <c r="B32" s="8" t="n"/>
      <c r="C32" s="8">
        <f>IFERROR(INDEX($AG32:$GA32,MATCH("職員番号*",$AG$4:$GA$4,0))&amp;"","")</f>
        <v/>
      </c>
      <c r="D32" s="8">
        <f>IFERROR(INDEX($AG32:$GA32,MATCH("氏名*",$AG$4:$GA$4,0))&amp;"","")</f>
        <v/>
      </c>
      <c r="E32" s="13" t="n"/>
      <c r="F32" s="13" t="n"/>
      <c r="G32" s="13" t="n"/>
      <c r="H32" s="14" t="n"/>
      <c r="I32" s="14" t="n"/>
      <c r="J32" s="15">
        <f>IF(AND(H32="",I32=""),"",N(H32)+N(I32))</f>
        <v/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4" t="n"/>
      <c r="U32" s="13" t="n"/>
      <c r="V32" s="13" t="n"/>
      <c r="W32" s="13" t="n"/>
      <c r="X32" s="14" t="n"/>
      <c r="Y32" s="13" t="n"/>
      <c r="Z32" s="16" t="n"/>
      <c r="AA32" s="13" t="n"/>
      <c r="AB32" s="13" t="n"/>
      <c r="AC32" s="13" t="n"/>
      <c r="AD32" s="13" t="n"/>
      <c r="AE32" s="13" t="n"/>
    </row>
    <row r="33">
      <c r="A33" s="12" t="n"/>
      <c r="B33" s="8" t="n"/>
      <c r="C33" s="8">
        <f>IFERROR(INDEX($AG33:$GA33,MATCH("職員番号*",$AG$4:$GA$4,0))&amp;"","")</f>
        <v/>
      </c>
      <c r="D33" s="8">
        <f>IFERROR(INDEX($AG33:$GA33,MATCH("氏名*",$AG$4:$GA$4,0))&amp;"","")</f>
        <v/>
      </c>
      <c r="E33" s="13" t="n"/>
      <c r="F33" s="13" t="n"/>
      <c r="G33" s="13" t="n"/>
      <c r="H33" s="14" t="n"/>
      <c r="I33" s="14" t="n"/>
      <c r="J33" s="15">
        <f>IF(AND(H33="",I33=""),"",N(H33)+N(I33))</f>
        <v/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4" t="n"/>
      <c r="U33" s="13" t="n"/>
      <c r="V33" s="13" t="n"/>
      <c r="W33" s="13" t="n"/>
      <c r="X33" s="14" t="n"/>
      <c r="Y33" s="13" t="n"/>
      <c r="Z33" s="16" t="n"/>
      <c r="AA33" s="13" t="n"/>
      <c r="AB33" s="13" t="n"/>
      <c r="AC33" s="13" t="n"/>
      <c r="AD33" s="13" t="n"/>
      <c r="AE33" s="13" t="n"/>
    </row>
    <row r="34">
      <c r="A34" s="12" t="n"/>
      <c r="B34" s="8" t="n"/>
      <c r="C34" s="8">
        <f>IFERROR(INDEX($AG34:$GA34,MATCH("職員番号*",$AG$4:$GA$4,0))&amp;"","")</f>
        <v/>
      </c>
      <c r="D34" s="8">
        <f>IFERROR(INDEX($AG34:$GA34,MATCH("氏名*",$AG$4:$GA$4,0))&amp;"","")</f>
        <v/>
      </c>
      <c r="E34" s="13" t="n"/>
      <c r="F34" s="13" t="n"/>
      <c r="G34" s="13" t="n"/>
      <c r="H34" s="14" t="n"/>
      <c r="I34" s="14" t="n"/>
      <c r="J34" s="15">
        <f>IF(AND(H34="",I34=""),"",N(H34)+N(I34))</f>
        <v/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4" t="n"/>
      <c r="U34" s="13" t="n"/>
      <c r="V34" s="13" t="n"/>
      <c r="W34" s="13" t="n"/>
      <c r="X34" s="14" t="n"/>
      <c r="Y34" s="13" t="n"/>
      <c r="Z34" s="16" t="n"/>
      <c r="AA34" s="13" t="n"/>
      <c r="AB34" s="13" t="n"/>
      <c r="AC34" s="13" t="n"/>
      <c r="AD34" s="13" t="n"/>
      <c r="AE34" s="13" t="n"/>
    </row>
    <row r="35">
      <c r="A35" s="12" t="n"/>
      <c r="B35" s="8" t="n"/>
      <c r="C35" s="8">
        <f>IFERROR(INDEX($AG35:$GA35,MATCH("職員番号*",$AG$4:$GA$4,0))&amp;"","")</f>
        <v/>
      </c>
      <c r="D35" s="8">
        <f>IFERROR(INDEX($AG35:$GA35,MATCH("氏名*",$AG$4:$GA$4,0))&amp;"","")</f>
        <v/>
      </c>
      <c r="E35" s="13" t="n"/>
      <c r="F35" s="13" t="n"/>
      <c r="G35" s="13" t="n"/>
      <c r="H35" s="14" t="n"/>
      <c r="I35" s="14" t="n"/>
      <c r="J35" s="15">
        <f>IF(AND(H35="",I35=""),"",N(H35)+N(I35))</f>
        <v/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4" t="n"/>
      <c r="U35" s="13" t="n"/>
      <c r="V35" s="13" t="n"/>
      <c r="W35" s="13" t="n"/>
      <c r="X35" s="14" t="n"/>
      <c r="Y35" s="13" t="n"/>
      <c r="Z35" s="16" t="n"/>
      <c r="AA35" s="13" t="n"/>
      <c r="AB35" s="13" t="n"/>
      <c r="AC35" s="13" t="n"/>
      <c r="AD35" s="13" t="n"/>
      <c r="AE35" s="13" t="n"/>
    </row>
    <row r="36">
      <c r="A36" s="12" t="n"/>
      <c r="B36" s="8" t="n"/>
      <c r="C36" s="8">
        <f>IFERROR(INDEX($AG36:$GA36,MATCH("職員番号*",$AG$4:$GA$4,0))&amp;"","")</f>
        <v/>
      </c>
      <c r="D36" s="8">
        <f>IFERROR(INDEX($AG36:$GA36,MATCH("氏名*",$AG$4:$GA$4,0))&amp;"","")</f>
        <v/>
      </c>
      <c r="E36" s="13" t="n"/>
      <c r="F36" s="13" t="n"/>
      <c r="G36" s="13" t="n"/>
      <c r="H36" s="14" t="n"/>
      <c r="I36" s="14" t="n"/>
      <c r="J36" s="15">
        <f>IF(AND(H36="",I36=""),"",N(H36)+N(I36))</f>
        <v/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4" t="n"/>
      <c r="U36" s="13" t="n"/>
      <c r="V36" s="13" t="n"/>
      <c r="W36" s="13" t="n"/>
      <c r="X36" s="14" t="n"/>
      <c r="Y36" s="13" t="n"/>
      <c r="Z36" s="16" t="n"/>
      <c r="AA36" s="13" t="n"/>
      <c r="AB36" s="13" t="n"/>
      <c r="AC36" s="13" t="n"/>
      <c r="AD36" s="13" t="n"/>
      <c r="AE36" s="13" t="n"/>
    </row>
    <row r="37">
      <c r="A37" s="12" t="n"/>
      <c r="B37" s="8" t="n"/>
      <c r="C37" s="8">
        <f>IFERROR(INDEX($AG37:$GA37,MATCH("職員番号*",$AG$4:$GA$4,0))&amp;"","")</f>
        <v/>
      </c>
      <c r="D37" s="8">
        <f>IFERROR(INDEX($AG37:$GA37,MATCH("氏名*",$AG$4:$GA$4,0))&amp;"","")</f>
        <v/>
      </c>
      <c r="E37" s="13" t="n"/>
      <c r="F37" s="13" t="n"/>
      <c r="G37" s="13" t="n"/>
      <c r="H37" s="14" t="n"/>
      <c r="I37" s="14" t="n"/>
      <c r="J37" s="15">
        <f>IF(AND(H37="",I37=""),"",N(H37)+N(I37))</f>
        <v/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4" t="n"/>
      <c r="U37" s="13" t="n"/>
      <c r="V37" s="13" t="n"/>
      <c r="W37" s="13" t="n"/>
      <c r="X37" s="14" t="n"/>
      <c r="Y37" s="13" t="n"/>
      <c r="Z37" s="16" t="n"/>
      <c r="AA37" s="13" t="n"/>
      <c r="AB37" s="13" t="n"/>
      <c r="AC37" s="13" t="n"/>
      <c r="AD37" s="13" t="n"/>
      <c r="AE37" s="13" t="n"/>
    </row>
    <row r="38">
      <c r="A38" s="12" t="n"/>
      <c r="B38" s="8" t="n"/>
      <c r="C38" s="8">
        <f>IFERROR(INDEX($AG38:$GA38,MATCH("職員番号*",$AG$4:$GA$4,0))&amp;"","")</f>
        <v/>
      </c>
      <c r="D38" s="8">
        <f>IFERROR(INDEX($AG38:$GA38,MATCH("氏名*",$AG$4:$GA$4,0))&amp;"","")</f>
        <v/>
      </c>
      <c r="E38" s="13" t="n"/>
      <c r="F38" s="13" t="n"/>
      <c r="G38" s="13" t="n"/>
      <c r="H38" s="14" t="n"/>
      <c r="I38" s="14" t="n"/>
      <c r="J38" s="15">
        <f>IF(AND(H38="",I38=""),"",N(H38)+N(I38))</f>
        <v/>
      </c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4" t="n"/>
      <c r="U38" s="13" t="n"/>
      <c r="V38" s="13" t="n"/>
      <c r="W38" s="13" t="n"/>
      <c r="X38" s="14" t="n"/>
      <c r="Y38" s="13" t="n"/>
      <c r="Z38" s="16" t="n"/>
      <c r="AA38" s="13" t="n"/>
      <c r="AB38" s="13" t="n"/>
      <c r="AC38" s="13" t="n"/>
      <c r="AD38" s="13" t="n"/>
      <c r="AE38" s="13" t="n"/>
    </row>
    <row r="39">
      <c r="A39" s="12" t="n"/>
      <c r="B39" s="8" t="n"/>
      <c r="C39" s="8">
        <f>IFERROR(INDEX($AG39:$GA39,MATCH("職員番号*",$AG$4:$GA$4,0))&amp;"","")</f>
        <v/>
      </c>
      <c r="D39" s="8">
        <f>IFERROR(INDEX($AG39:$GA39,MATCH("氏名*",$AG$4:$GA$4,0))&amp;"","")</f>
        <v/>
      </c>
      <c r="E39" s="13" t="n"/>
      <c r="F39" s="13" t="n"/>
      <c r="G39" s="13" t="n"/>
      <c r="H39" s="14" t="n"/>
      <c r="I39" s="14" t="n"/>
      <c r="J39" s="15">
        <f>IF(AND(H39="",I39=""),"",N(H39)+N(I39))</f>
        <v/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4" t="n"/>
      <c r="U39" s="13" t="n"/>
      <c r="V39" s="13" t="n"/>
      <c r="W39" s="13" t="n"/>
      <c r="X39" s="14" t="n"/>
      <c r="Y39" s="13" t="n"/>
      <c r="Z39" s="16" t="n"/>
      <c r="AA39" s="13" t="n"/>
      <c r="AB39" s="13" t="n"/>
      <c r="AC39" s="13" t="n"/>
      <c r="AD39" s="13" t="n"/>
      <c r="AE39" s="13" t="n"/>
    </row>
    <row r="40">
      <c r="A40" s="12" t="n"/>
      <c r="B40" s="8" t="n"/>
      <c r="C40" s="8">
        <f>IFERROR(INDEX($AG40:$GA40,MATCH("職員番号*",$AG$4:$GA$4,0))&amp;"","")</f>
        <v/>
      </c>
      <c r="D40" s="8">
        <f>IFERROR(INDEX($AG40:$GA40,MATCH("氏名*",$AG$4:$GA$4,0))&amp;"","")</f>
        <v/>
      </c>
      <c r="E40" s="13" t="n"/>
      <c r="F40" s="13" t="n"/>
      <c r="G40" s="13" t="n"/>
      <c r="H40" s="14" t="n"/>
      <c r="I40" s="14" t="n"/>
      <c r="J40" s="15">
        <f>IF(AND(H40="",I40=""),"",N(H40)+N(I40))</f>
        <v/>
      </c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4" t="n"/>
      <c r="U40" s="13" t="n"/>
      <c r="V40" s="13" t="n"/>
      <c r="W40" s="13" t="n"/>
      <c r="X40" s="14" t="n"/>
      <c r="Y40" s="13" t="n"/>
      <c r="Z40" s="16" t="n"/>
      <c r="AA40" s="13" t="n"/>
      <c r="AB40" s="13" t="n"/>
      <c r="AC40" s="13" t="n"/>
      <c r="AD40" s="13" t="n"/>
      <c r="AE40" s="13" t="n"/>
    </row>
    <row r="41">
      <c r="A41" s="12" t="n"/>
      <c r="B41" s="8" t="n"/>
      <c r="C41" s="8">
        <f>IFERROR(INDEX($AG41:$GA41,MATCH("職員番号*",$AG$4:$GA$4,0))&amp;"","")</f>
        <v/>
      </c>
      <c r="D41" s="8">
        <f>IFERROR(INDEX($AG41:$GA41,MATCH("氏名*",$AG$4:$GA$4,0))&amp;"","")</f>
        <v/>
      </c>
      <c r="E41" s="13" t="n"/>
      <c r="F41" s="13" t="n"/>
      <c r="G41" s="13" t="n"/>
      <c r="H41" s="14" t="n"/>
      <c r="I41" s="14" t="n"/>
      <c r="J41" s="15">
        <f>IF(AND(H41="",I41=""),"",N(H41)+N(I41))</f>
        <v/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4" t="n"/>
      <c r="U41" s="13" t="n"/>
      <c r="V41" s="13" t="n"/>
      <c r="W41" s="13" t="n"/>
      <c r="X41" s="14" t="n"/>
      <c r="Y41" s="13" t="n"/>
      <c r="Z41" s="16" t="n"/>
      <c r="AA41" s="13" t="n"/>
      <c r="AB41" s="13" t="n"/>
      <c r="AC41" s="13" t="n"/>
      <c r="AD41" s="13" t="n"/>
      <c r="AE41" s="13" t="n"/>
    </row>
    <row r="42">
      <c r="A42" s="12" t="n"/>
      <c r="B42" s="8" t="n"/>
      <c r="C42" s="8">
        <f>IFERROR(INDEX($AG42:$GA42,MATCH("職員番号*",$AG$4:$GA$4,0))&amp;"","")</f>
        <v/>
      </c>
      <c r="D42" s="8">
        <f>IFERROR(INDEX($AG42:$GA42,MATCH("氏名*",$AG$4:$GA$4,0))&amp;"","")</f>
        <v/>
      </c>
      <c r="E42" s="13" t="n"/>
      <c r="F42" s="13" t="n"/>
      <c r="G42" s="13" t="n"/>
      <c r="H42" s="14" t="n"/>
      <c r="I42" s="14" t="n"/>
      <c r="J42" s="15">
        <f>IF(AND(H42="",I42=""),"",N(H42)+N(I42))</f>
        <v/>
      </c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4" t="n"/>
      <c r="U42" s="13" t="n"/>
      <c r="V42" s="13" t="n"/>
      <c r="W42" s="13" t="n"/>
      <c r="X42" s="14" t="n"/>
      <c r="Y42" s="13" t="n"/>
      <c r="Z42" s="16" t="n"/>
      <c r="AA42" s="13" t="n"/>
      <c r="AB42" s="13" t="n"/>
      <c r="AC42" s="13" t="n"/>
      <c r="AD42" s="13" t="n"/>
      <c r="AE42" s="13" t="n"/>
    </row>
    <row r="43">
      <c r="A43" s="12" t="n"/>
      <c r="B43" s="8" t="n"/>
      <c r="C43" s="8">
        <f>IFERROR(INDEX($AG43:$GA43,MATCH("職員番号*",$AG$4:$GA$4,0))&amp;"","")</f>
        <v/>
      </c>
      <c r="D43" s="8">
        <f>IFERROR(INDEX($AG43:$GA43,MATCH("氏名*",$AG$4:$GA$4,0))&amp;"","")</f>
        <v/>
      </c>
      <c r="E43" s="13" t="n"/>
      <c r="F43" s="13" t="n"/>
      <c r="G43" s="13" t="n"/>
      <c r="H43" s="14" t="n"/>
      <c r="I43" s="14" t="n"/>
      <c r="J43" s="15">
        <f>IF(AND(H43="",I43=""),"",N(H43)+N(I43))</f>
        <v/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4" t="n"/>
      <c r="U43" s="13" t="n"/>
      <c r="V43" s="13" t="n"/>
      <c r="W43" s="13" t="n"/>
      <c r="X43" s="14" t="n"/>
      <c r="Y43" s="13" t="n"/>
      <c r="Z43" s="16" t="n"/>
      <c r="AA43" s="13" t="n"/>
      <c r="AB43" s="13" t="n"/>
      <c r="AC43" s="13" t="n"/>
      <c r="AD43" s="13" t="n"/>
      <c r="AE43" s="13" t="n"/>
    </row>
    <row r="44">
      <c r="A44" s="12" t="n"/>
      <c r="B44" s="8" t="n"/>
      <c r="C44" s="8">
        <f>IFERROR(INDEX($AG44:$GA44,MATCH("職員番号*",$AG$4:$GA$4,0))&amp;"","")</f>
        <v/>
      </c>
      <c r="D44" s="8">
        <f>IFERROR(INDEX($AG44:$GA44,MATCH("氏名*",$AG$4:$GA$4,0))&amp;"","")</f>
        <v/>
      </c>
      <c r="E44" s="13" t="n"/>
      <c r="F44" s="13" t="n"/>
      <c r="G44" s="13" t="n"/>
      <c r="H44" s="14" t="n"/>
      <c r="I44" s="14" t="n"/>
      <c r="J44" s="15">
        <f>IF(AND(H44="",I44=""),"",N(H44)+N(I44))</f>
        <v/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4" t="n"/>
      <c r="U44" s="13" t="n"/>
      <c r="V44" s="13" t="n"/>
      <c r="W44" s="13" t="n"/>
      <c r="X44" s="14" t="n"/>
      <c r="Y44" s="13" t="n"/>
      <c r="Z44" s="16" t="n"/>
      <c r="AA44" s="13" t="n"/>
      <c r="AB44" s="13" t="n"/>
      <c r="AC44" s="13" t="n"/>
      <c r="AD44" s="13" t="n"/>
      <c r="AE44" s="13" t="n"/>
    </row>
    <row r="45">
      <c r="A45" s="12" t="n"/>
      <c r="B45" s="8" t="n"/>
      <c r="C45" s="8">
        <f>IFERROR(INDEX($AG45:$GA45,MATCH("職員番号*",$AG$4:$GA$4,0))&amp;"","")</f>
        <v/>
      </c>
      <c r="D45" s="8">
        <f>IFERROR(INDEX($AG45:$GA45,MATCH("氏名*",$AG$4:$GA$4,0))&amp;"","")</f>
        <v/>
      </c>
      <c r="E45" s="13" t="n"/>
      <c r="F45" s="13" t="n"/>
      <c r="G45" s="13" t="n"/>
      <c r="H45" s="14" t="n"/>
      <c r="I45" s="14" t="n"/>
      <c r="J45" s="15">
        <f>IF(AND(H45="",I45=""),"",N(H45)+N(I45))</f>
        <v/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4" t="n"/>
      <c r="U45" s="13" t="n"/>
      <c r="V45" s="13" t="n"/>
      <c r="W45" s="13" t="n"/>
      <c r="X45" s="14" t="n"/>
      <c r="Y45" s="13" t="n"/>
      <c r="Z45" s="16" t="n"/>
      <c r="AA45" s="13" t="n"/>
      <c r="AB45" s="13" t="n"/>
      <c r="AC45" s="13" t="n"/>
      <c r="AD45" s="13" t="n"/>
      <c r="AE45" s="13" t="n"/>
    </row>
    <row r="46">
      <c r="A46" s="12" t="n"/>
      <c r="B46" s="8" t="n"/>
      <c r="C46" s="8">
        <f>IFERROR(INDEX($AG46:$GA46,MATCH("職員番号*",$AG$4:$GA$4,0))&amp;"","")</f>
        <v/>
      </c>
      <c r="D46" s="8">
        <f>IFERROR(INDEX($AG46:$GA46,MATCH("氏名*",$AG$4:$GA$4,0))&amp;"","")</f>
        <v/>
      </c>
      <c r="E46" s="13" t="n"/>
      <c r="F46" s="13" t="n"/>
      <c r="G46" s="13" t="n"/>
      <c r="H46" s="14" t="n"/>
      <c r="I46" s="14" t="n"/>
      <c r="J46" s="15">
        <f>IF(AND(H46="",I46=""),"",N(H46)+N(I46))</f>
        <v/>
      </c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4" t="n"/>
      <c r="U46" s="13" t="n"/>
      <c r="V46" s="13" t="n"/>
      <c r="W46" s="13" t="n"/>
      <c r="X46" s="14" t="n"/>
      <c r="Y46" s="13" t="n"/>
      <c r="Z46" s="16" t="n"/>
      <c r="AA46" s="13" t="n"/>
      <c r="AB46" s="13" t="n"/>
      <c r="AC46" s="13" t="n"/>
      <c r="AD46" s="13" t="n"/>
      <c r="AE46" s="13" t="n"/>
    </row>
    <row r="47">
      <c r="A47" s="12" t="n"/>
      <c r="B47" s="8" t="n"/>
      <c r="C47" s="8">
        <f>IFERROR(INDEX($AG47:$GA47,MATCH("職員番号*",$AG$4:$GA$4,0))&amp;"","")</f>
        <v/>
      </c>
      <c r="D47" s="8">
        <f>IFERROR(INDEX($AG47:$GA47,MATCH("氏名*",$AG$4:$GA$4,0))&amp;"","")</f>
        <v/>
      </c>
      <c r="E47" s="13" t="n"/>
      <c r="F47" s="13" t="n"/>
      <c r="G47" s="13" t="n"/>
      <c r="H47" s="14" t="n"/>
      <c r="I47" s="14" t="n"/>
      <c r="J47" s="15">
        <f>IF(AND(H47="",I47=""),"",N(H47)+N(I47))</f>
        <v/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4" t="n"/>
      <c r="U47" s="13" t="n"/>
      <c r="V47" s="13" t="n"/>
      <c r="W47" s="13" t="n"/>
      <c r="X47" s="14" t="n"/>
      <c r="Y47" s="13" t="n"/>
      <c r="Z47" s="16" t="n"/>
      <c r="AA47" s="13" t="n"/>
      <c r="AB47" s="13" t="n"/>
      <c r="AC47" s="13" t="n"/>
      <c r="AD47" s="13" t="n"/>
      <c r="AE47" s="13" t="n"/>
    </row>
    <row r="48">
      <c r="A48" s="12" t="n"/>
      <c r="B48" s="8" t="n"/>
      <c r="C48" s="8">
        <f>IFERROR(INDEX($AG48:$GA48,MATCH("職員番号*",$AG$4:$GA$4,0))&amp;"","")</f>
        <v/>
      </c>
      <c r="D48" s="8">
        <f>IFERROR(INDEX($AG48:$GA48,MATCH("氏名*",$AG$4:$GA$4,0))&amp;"","")</f>
        <v/>
      </c>
      <c r="E48" s="13" t="n"/>
      <c r="F48" s="13" t="n"/>
      <c r="G48" s="13" t="n"/>
      <c r="H48" s="14" t="n"/>
      <c r="I48" s="14" t="n"/>
      <c r="J48" s="15">
        <f>IF(AND(H48="",I48=""),"",N(H48)+N(I48))</f>
        <v/>
      </c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4" t="n"/>
      <c r="U48" s="13" t="n"/>
      <c r="V48" s="13" t="n"/>
      <c r="W48" s="13" t="n"/>
      <c r="X48" s="14" t="n"/>
      <c r="Y48" s="13" t="n"/>
      <c r="Z48" s="16" t="n"/>
      <c r="AA48" s="13" t="n"/>
      <c r="AB48" s="13" t="n"/>
      <c r="AC48" s="13" t="n"/>
      <c r="AD48" s="13" t="n"/>
      <c r="AE48" s="13" t="n"/>
    </row>
    <row r="49">
      <c r="A49" s="12" t="n"/>
      <c r="B49" s="8" t="n"/>
      <c r="C49" s="8">
        <f>IFERROR(INDEX($AG49:$GA49,MATCH("職員番号*",$AG$4:$GA$4,0))&amp;"","")</f>
        <v/>
      </c>
      <c r="D49" s="8">
        <f>IFERROR(INDEX($AG49:$GA49,MATCH("氏名*",$AG$4:$GA$4,0))&amp;"","")</f>
        <v/>
      </c>
      <c r="E49" s="13" t="n"/>
      <c r="F49" s="13" t="n"/>
      <c r="G49" s="13" t="n"/>
      <c r="H49" s="14" t="n"/>
      <c r="I49" s="14" t="n"/>
      <c r="J49" s="15">
        <f>IF(AND(H49="",I49=""),"",N(H49)+N(I49))</f>
        <v/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4" t="n"/>
      <c r="U49" s="13" t="n"/>
      <c r="V49" s="13" t="n"/>
      <c r="W49" s="13" t="n"/>
      <c r="X49" s="14" t="n"/>
      <c r="Y49" s="13" t="n"/>
      <c r="Z49" s="16" t="n"/>
      <c r="AA49" s="13" t="n"/>
      <c r="AB49" s="13" t="n"/>
      <c r="AC49" s="13" t="n"/>
      <c r="AD49" s="13" t="n"/>
      <c r="AE49" s="13" t="n"/>
    </row>
    <row r="50">
      <c r="A50" s="12" t="n"/>
      <c r="B50" s="8" t="n"/>
      <c r="C50" s="8">
        <f>IFERROR(INDEX($AG50:$GA50,MATCH("職員番号*",$AG$4:$GA$4,0))&amp;"","")</f>
        <v/>
      </c>
      <c r="D50" s="8">
        <f>IFERROR(INDEX($AG50:$GA50,MATCH("氏名*",$AG$4:$GA$4,0))&amp;"","")</f>
        <v/>
      </c>
      <c r="E50" s="13" t="n"/>
      <c r="F50" s="13" t="n"/>
      <c r="G50" s="13" t="n"/>
      <c r="H50" s="14" t="n"/>
      <c r="I50" s="14" t="n"/>
      <c r="J50" s="15">
        <f>IF(AND(H50="",I50=""),"",N(H50)+N(I50))</f>
        <v/>
      </c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4" t="n"/>
      <c r="U50" s="13" t="n"/>
      <c r="V50" s="13" t="n"/>
      <c r="W50" s="13" t="n"/>
      <c r="X50" s="14" t="n"/>
      <c r="Y50" s="13" t="n"/>
      <c r="Z50" s="16" t="n"/>
      <c r="AA50" s="13" t="n"/>
      <c r="AB50" s="13" t="n"/>
      <c r="AC50" s="13" t="n"/>
      <c r="AD50" s="13" t="n"/>
      <c r="AE50" s="13" t="n"/>
    </row>
    <row r="51">
      <c r="A51" s="12" t="n"/>
      <c r="B51" s="8" t="n"/>
      <c r="C51" s="8">
        <f>IFERROR(INDEX($AG51:$GA51,MATCH("職員番号*",$AG$4:$GA$4,0))&amp;"","")</f>
        <v/>
      </c>
      <c r="D51" s="8">
        <f>IFERROR(INDEX($AG51:$GA51,MATCH("氏名*",$AG$4:$GA$4,0))&amp;"","")</f>
        <v/>
      </c>
      <c r="E51" s="13" t="n"/>
      <c r="F51" s="13" t="n"/>
      <c r="G51" s="13" t="n"/>
      <c r="H51" s="14" t="n"/>
      <c r="I51" s="14" t="n"/>
      <c r="J51" s="15">
        <f>IF(AND(H51="",I51=""),"",N(H51)+N(I51))</f>
        <v/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4" t="n"/>
      <c r="U51" s="13" t="n"/>
      <c r="V51" s="13" t="n"/>
      <c r="W51" s="13" t="n"/>
      <c r="X51" s="14" t="n"/>
      <c r="Y51" s="13" t="n"/>
      <c r="Z51" s="16" t="n"/>
      <c r="AA51" s="13" t="n"/>
      <c r="AB51" s="13" t="n"/>
      <c r="AC51" s="13" t="n"/>
      <c r="AD51" s="13" t="n"/>
      <c r="AE51" s="13" t="n"/>
    </row>
    <row r="52">
      <c r="A52" s="12" t="n"/>
      <c r="B52" s="8" t="n"/>
      <c r="C52" s="8">
        <f>IFERROR(INDEX($AG52:$GA52,MATCH("職員番号*",$AG$4:$GA$4,0))&amp;"","")</f>
        <v/>
      </c>
      <c r="D52" s="8">
        <f>IFERROR(INDEX($AG52:$GA52,MATCH("氏名*",$AG$4:$GA$4,0))&amp;"","")</f>
        <v/>
      </c>
      <c r="E52" s="13" t="n"/>
      <c r="F52" s="13" t="n"/>
      <c r="G52" s="13" t="n"/>
      <c r="H52" s="14" t="n"/>
      <c r="I52" s="14" t="n"/>
      <c r="J52" s="15">
        <f>IF(AND(H52="",I52=""),"",N(H52)+N(I52))</f>
        <v/>
      </c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4" t="n"/>
      <c r="U52" s="13" t="n"/>
      <c r="V52" s="13" t="n"/>
      <c r="W52" s="13" t="n"/>
      <c r="X52" s="14" t="n"/>
      <c r="Y52" s="13" t="n"/>
      <c r="Z52" s="16" t="n"/>
      <c r="AA52" s="13" t="n"/>
      <c r="AB52" s="13" t="n"/>
      <c r="AC52" s="13" t="n"/>
      <c r="AD52" s="13" t="n"/>
      <c r="AE52" s="13" t="n"/>
    </row>
    <row r="53">
      <c r="A53" s="12" t="n"/>
      <c r="B53" s="8" t="n"/>
      <c r="C53" s="8">
        <f>IFERROR(INDEX($AG53:$GA53,MATCH("職員番号*",$AG$4:$GA$4,0))&amp;"","")</f>
        <v/>
      </c>
      <c r="D53" s="8">
        <f>IFERROR(INDEX($AG53:$GA53,MATCH("氏名*",$AG$4:$GA$4,0))&amp;"","")</f>
        <v/>
      </c>
      <c r="E53" s="13" t="n"/>
      <c r="F53" s="13" t="n"/>
      <c r="G53" s="13" t="n"/>
      <c r="H53" s="14" t="n"/>
      <c r="I53" s="14" t="n"/>
      <c r="J53" s="15">
        <f>IF(AND(H53="",I53=""),"",N(H53)+N(I53))</f>
        <v/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4" t="n"/>
      <c r="U53" s="13" t="n"/>
      <c r="V53" s="13" t="n"/>
      <c r="W53" s="13" t="n"/>
      <c r="X53" s="14" t="n"/>
      <c r="Y53" s="13" t="n"/>
      <c r="Z53" s="16" t="n"/>
      <c r="AA53" s="13" t="n"/>
      <c r="AB53" s="13" t="n"/>
      <c r="AC53" s="13" t="n"/>
      <c r="AD53" s="13" t="n"/>
      <c r="AE53" s="13" t="n"/>
    </row>
    <row r="54">
      <c r="A54" s="12" t="n"/>
      <c r="B54" s="8" t="n"/>
      <c r="C54" s="8">
        <f>IFERROR(INDEX($AG54:$GA54,MATCH("職員番号*",$AG$4:$GA$4,0))&amp;"","")</f>
        <v/>
      </c>
      <c r="D54" s="8">
        <f>IFERROR(INDEX($AG54:$GA54,MATCH("氏名*",$AG$4:$GA$4,0))&amp;"","")</f>
        <v/>
      </c>
      <c r="E54" s="13" t="n"/>
      <c r="F54" s="13" t="n"/>
      <c r="G54" s="13" t="n"/>
      <c r="H54" s="14" t="n"/>
      <c r="I54" s="14" t="n"/>
      <c r="J54" s="15">
        <f>IF(AND(H54="",I54=""),"",N(H54)+N(I54))</f>
        <v/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4" t="n"/>
      <c r="U54" s="13" t="n"/>
      <c r="V54" s="13" t="n"/>
      <c r="W54" s="13" t="n"/>
      <c r="X54" s="14" t="n"/>
      <c r="Y54" s="13" t="n"/>
      <c r="Z54" s="16" t="n"/>
      <c r="AA54" s="13" t="n"/>
      <c r="AB54" s="13" t="n"/>
      <c r="AC54" s="13" t="n"/>
      <c r="AD54" s="13" t="n"/>
      <c r="AE54" s="13" t="n"/>
    </row>
    <row r="55">
      <c r="A55" s="12" t="n"/>
      <c r="B55" s="8" t="n"/>
      <c r="C55" s="8">
        <f>IFERROR(INDEX($AG55:$GA55,MATCH("職員番号*",$AG$4:$GA$4,0))&amp;"","")</f>
        <v/>
      </c>
      <c r="D55" s="8">
        <f>IFERROR(INDEX($AG55:$GA55,MATCH("氏名*",$AG$4:$GA$4,0))&amp;"","")</f>
        <v/>
      </c>
      <c r="E55" s="13" t="n"/>
      <c r="F55" s="13" t="n"/>
      <c r="G55" s="13" t="n"/>
      <c r="H55" s="14" t="n"/>
      <c r="I55" s="14" t="n"/>
      <c r="J55" s="15">
        <f>IF(AND(H55="",I55=""),"",N(H55)+N(I55))</f>
        <v/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4" t="n"/>
      <c r="U55" s="13" t="n"/>
      <c r="V55" s="13" t="n"/>
      <c r="W55" s="13" t="n"/>
      <c r="X55" s="14" t="n"/>
      <c r="Y55" s="13" t="n"/>
      <c r="Z55" s="16" t="n"/>
      <c r="AA55" s="13" t="n"/>
      <c r="AB55" s="13" t="n"/>
      <c r="AC55" s="13" t="n"/>
      <c r="AD55" s="13" t="n"/>
      <c r="AE55" s="13" t="n"/>
    </row>
    <row r="56">
      <c r="A56" s="12" t="n"/>
      <c r="B56" s="8" t="n"/>
      <c r="C56" s="8">
        <f>IFERROR(INDEX($AG56:$GA56,MATCH("職員番号*",$AG$4:$GA$4,0))&amp;"","")</f>
        <v/>
      </c>
      <c r="D56" s="8">
        <f>IFERROR(INDEX($AG56:$GA56,MATCH("氏名*",$AG$4:$GA$4,0))&amp;"","")</f>
        <v/>
      </c>
      <c r="E56" s="13" t="n"/>
      <c r="F56" s="13" t="n"/>
      <c r="G56" s="13" t="n"/>
      <c r="H56" s="14" t="n"/>
      <c r="I56" s="14" t="n"/>
      <c r="J56" s="15">
        <f>IF(AND(H56="",I56=""),"",N(H56)+N(I56))</f>
        <v/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4" t="n"/>
      <c r="U56" s="13" t="n"/>
      <c r="V56" s="13" t="n"/>
      <c r="W56" s="13" t="n"/>
      <c r="X56" s="14" t="n"/>
      <c r="Y56" s="13" t="n"/>
      <c r="Z56" s="16" t="n"/>
      <c r="AA56" s="13" t="n"/>
      <c r="AB56" s="13" t="n"/>
      <c r="AC56" s="13" t="n"/>
      <c r="AD56" s="13" t="n"/>
      <c r="AE56" s="13" t="n"/>
    </row>
    <row r="57">
      <c r="A57" s="12" t="n"/>
      <c r="B57" s="8" t="n"/>
      <c r="C57" s="8">
        <f>IFERROR(INDEX($AG57:$GA57,MATCH("職員番号*",$AG$4:$GA$4,0))&amp;"","")</f>
        <v/>
      </c>
      <c r="D57" s="8">
        <f>IFERROR(INDEX($AG57:$GA57,MATCH("氏名*",$AG$4:$GA$4,0))&amp;"","")</f>
        <v/>
      </c>
      <c r="E57" s="13" t="n"/>
      <c r="F57" s="13" t="n"/>
      <c r="G57" s="13" t="n"/>
      <c r="H57" s="14" t="n"/>
      <c r="I57" s="14" t="n"/>
      <c r="J57" s="15">
        <f>IF(AND(H57="",I57=""),"",N(H57)+N(I57))</f>
        <v/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4" t="n"/>
      <c r="U57" s="13" t="n"/>
      <c r="V57" s="13" t="n"/>
      <c r="W57" s="13" t="n"/>
      <c r="X57" s="14" t="n"/>
      <c r="Y57" s="13" t="n"/>
      <c r="Z57" s="16" t="n"/>
      <c r="AA57" s="13" t="n"/>
      <c r="AB57" s="13" t="n"/>
      <c r="AC57" s="13" t="n"/>
      <c r="AD57" s="13" t="n"/>
      <c r="AE57" s="13" t="n"/>
    </row>
    <row r="58">
      <c r="A58" s="12" t="n"/>
      <c r="B58" s="8" t="n"/>
      <c r="C58" s="8">
        <f>IFERROR(INDEX($AG58:$GA58,MATCH("職員番号*",$AG$4:$GA$4,0))&amp;"","")</f>
        <v/>
      </c>
      <c r="D58" s="8">
        <f>IFERROR(INDEX($AG58:$GA58,MATCH("氏名*",$AG$4:$GA$4,0))&amp;"","")</f>
        <v/>
      </c>
      <c r="E58" s="13" t="n"/>
      <c r="F58" s="13" t="n"/>
      <c r="G58" s="13" t="n"/>
      <c r="H58" s="14" t="n"/>
      <c r="I58" s="14" t="n"/>
      <c r="J58" s="15">
        <f>IF(AND(H58="",I58=""),"",N(H58)+N(I58))</f>
        <v/>
      </c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4" t="n"/>
      <c r="U58" s="13" t="n"/>
      <c r="V58" s="13" t="n"/>
      <c r="W58" s="13" t="n"/>
      <c r="X58" s="14" t="n"/>
      <c r="Y58" s="13" t="n"/>
      <c r="Z58" s="16" t="n"/>
      <c r="AA58" s="13" t="n"/>
      <c r="AB58" s="13" t="n"/>
      <c r="AC58" s="13" t="n"/>
      <c r="AD58" s="13" t="n"/>
      <c r="AE58" s="13" t="n"/>
    </row>
    <row r="59">
      <c r="A59" s="12" t="n"/>
      <c r="B59" s="8" t="n"/>
      <c r="C59" s="8">
        <f>IFERROR(INDEX($AG59:$GA59,MATCH("職員番号*",$AG$4:$GA$4,0))&amp;"","")</f>
        <v/>
      </c>
      <c r="D59" s="8">
        <f>IFERROR(INDEX($AG59:$GA59,MATCH("氏名*",$AG$4:$GA$4,0))&amp;"","")</f>
        <v/>
      </c>
      <c r="E59" s="13" t="n"/>
      <c r="F59" s="13" t="n"/>
      <c r="G59" s="13" t="n"/>
      <c r="H59" s="14" t="n"/>
      <c r="I59" s="14" t="n"/>
      <c r="J59" s="15">
        <f>IF(AND(H59="",I59=""),"",N(H59)+N(I59))</f>
        <v/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4" t="n"/>
      <c r="U59" s="13" t="n"/>
      <c r="V59" s="13" t="n"/>
      <c r="W59" s="13" t="n"/>
      <c r="X59" s="14" t="n"/>
      <c r="Y59" s="13" t="n"/>
      <c r="Z59" s="16" t="n"/>
      <c r="AA59" s="13" t="n"/>
      <c r="AB59" s="13" t="n"/>
      <c r="AC59" s="13" t="n"/>
      <c r="AD59" s="13" t="n"/>
      <c r="AE59" s="13" t="n"/>
    </row>
    <row r="60">
      <c r="A60" s="12" t="n"/>
      <c r="B60" s="8" t="n"/>
      <c r="C60" s="8">
        <f>IFERROR(INDEX($AG60:$GA60,MATCH("職員番号*",$AG$4:$GA$4,0))&amp;"","")</f>
        <v/>
      </c>
      <c r="D60" s="8">
        <f>IFERROR(INDEX($AG60:$GA60,MATCH("氏名*",$AG$4:$GA$4,0))&amp;"","")</f>
        <v/>
      </c>
      <c r="E60" s="13" t="n"/>
      <c r="F60" s="13" t="n"/>
      <c r="G60" s="13" t="n"/>
      <c r="H60" s="14" t="n"/>
      <c r="I60" s="14" t="n"/>
      <c r="J60" s="15">
        <f>IF(AND(H60="",I60=""),"",N(H60)+N(I60))</f>
        <v/>
      </c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4" t="n"/>
      <c r="U60" s="13" t="n"/>
      <c r="V60" s="13" t="n"/>
      <c r="W60" s="13" t="n"/>
      <c r="X60" s="14" t="n"/>
      <c r="Y60" s="13" t="n"/>
      <c r="Z60" s="16" t="n"/>
      <c r="AA60" s="13" t="n"/>
      <c r="AB60" s="13" t="n"/>
      <c r="AC60" s="13" t="n"/>
      <c r="AD60" s="13" t="n"/>
      <c r="AE60" s="13" t="n"/>
    </row>
    <row r="61">
      <c r="A61" s="12" t="n"/>
      <c r="B61" s="8" t="n"/>
      <c r="C61" s="8">
        <f>IFERROR(INDEX($AG61:$GA61,MATCH("職員番号*",$AG$4:$GA$4,0))&amp;"","")</f>
        <v/>
      </c>
      <c r="D61" s="8">
        <f>IFERROR(INDEX($AG61:$GA61,MATCH("氏名*",$AG$4:$GA$4,0))&amp;"","")</f>
        <v/>
      </c>
      <c r="E61" s="13" t="n"/>
      <c r="F61" s="13" t="n"/>
      <c r="G61" s="13" t="n"/>
      <c r="H61" s="14" t="n"/>
      <c r="I61" s="14" t="n"/>
      <c r="J61" s="15">
        <f>IF(AND(H61="",I61=""),"",N(H61)+N(I61))</f>
        <v/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4" t="n"/>
      <c r="U61" s="13" t="n"/>
      <c r="V61" s="13" t="n"/>
      <c r="W61" s="13" t="n"/>
      <c r="X61" s="14" t="n"/>
      <c r="Y61" s="13" t="n"/>
      <c r="Z61" s="16" t="n"/>
      <c r="AA61" s="13" t="n"/>
      <c r="AB61" s="13" t="n"/>
      <c r="AC61" s="13" t="n"/>
      <c r="AD61" s="13" t="n"/>
      <c r="AE61" s="13" t="n"/>
    </row>
    <row r="62">
      <c r="A62" s="12" t="n"/>
      <c r="B62" s="8" t="n"/>
      <c r="C62" s="8">
        <f>IFERROR(INDEX($AG62:$GA62,MATCH("職員番号*",$AG$4:$GA$4,0))&amp;"","")</f>
        <v/>
      </c>
      <c r="D62" s="8">
        <f>IFERROR(INDEX($AG62:$GA62,MATCH("氏名*",$AG$4:$GA$4,0))&amp;"","")</f>
        <v/>
      </c>
      <c r="E62" s="13" t="n"/>
      <c r="F62" s="13" t="n"/>
      <c r="G62" s="13" t="n"/>
      <c r="H62" s="14" t="n"/>
      <c r="I62" s="14" t="n"/>
      <c r="J62" s="15">
        <f>IF(AND(H62="",I62=""),"",N(H62)+N(I62))</f>
        <v/>
      </c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4" t="n"/>
      <c r="U62" s="13" t="n"/>
      <c r="V62" s="13" t="n"/>
      <c r="W62" s="13" t="n"/>
      <c r="X62" s="14" t="n"/>
      <c r="Y62" s="13" t="n"/>
      <c r="Z62" s="16" t="n"/>
      <c r="AA62" s="13" t="n"/>
      <c r="AB62" s="13" t="n"/>
      <c r="AC62" s="13" t="n"/>
      <c r="AD62" s="13" t="n"/>
      <c r="AE62" s="13" t="n"/>
    </row>
    <row r="63">
      <c r="A63" s="12" t="n"/>
      <c r="B63" s="8" t="n"/>
      <c r="C63" s="8">
        <f>IFERROR(INDEX($AG63:$GA63,MATCH("職員番号*",$AG$4:$GA$4,0))&amp;"","")</f>
        <v/>
      </c>
      <c r="D63" s="8">
        <f>IFERROR(INDEX($AG63:$GA63,MATCH("氏名*",$AG$4:$GA$4,0))&amp;"","")</f>
        <v/>
      </c>
      <c r="E63" s="13" t="n"/>
      <c r="F63" s="13" t="n"/>
      <c r="G63" s="13" t="n"/>
      <c r="H63" s="14" t="n"/>
      <c r="I63" s="14" t="n"/>
      <c r="J63" s="15">
        <f>IF(AND(H63="",I63=""),"",N(H63)+N(I63))</f>
        <v/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4" t="n"/>
      <c r="U63" s="13" t="n"/>
      <c r="V63" s="13" t="n"/>
      <c r="W63" s="13" t="n"/>
      <c r="X63" s="14" t="n"/>
      <c r="Y63" s="13" t="n"/>
      <c r="Z63" s="16" t="n"/>
      <c r="AA63" s="13" t="n"/>
      <c r="AB63" s="13" t="n"/>
      <c r="AC63" s="13" t="n"/>
      <c r="AD63" s="13" t="n"/>
      <c r="AE63" s="13" t="n"/>
    </row>
    <row r="64">
      <c r="A64" s="12" t="n"/>
      <c r="B64" s="8" t="n"/>
      <c r="C64" s="8">
        <f>IFERROR(INDEX($AG64:$GA64,MATCH("職員番号*",$AG$4:$GA$4,0))&amp;"","")</f>
        <v/>
      </c>
      <c r="D64" s="8">
        <f>IFERROR(INDEX($AG64:$GA64,MATCH("氏名*",$AG$4:$GA$4,0))&amp;"","")</f>
        <v/>
      </c>
      <c r="E64" s="13" t="n"/>
      <c r="F64" s="13" t="n"/>
      <c r="G64" s="13" t="n"/>
      <c r="H64" s="14" t="n"/>
      <c r="I64" s="14" t="n"/>
      <c r="J64" s="15">
        <f>IF(AND(H64="",I64=""),"",N(H64)+N(I64))</f>
        <v/>
      </c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4" t="n"/>
      <c r="U64" s="13" t="n"/>
      <c r="V64" s="13" t="n"/>
      <c r="W64" s="13" t="n"/>
      <c r="X64" s="14" t="n"/>
      <c r="Y64" s="13" t="n"/>
      <c r="Z64" s="16" t="n"/>
      <c r="AA64" s="13" t="n"/>
      <c r="AB64" s="13" t="n"/>
      <c r="AC64" s="13" t="n"/>
      <c r="AD64" s="13" t="n"/>
      <c r="AE64" s="13" t="n"/>
    </row>
    <row r="65">
      <c r="A65" s="12" t="n"/>
      <c r="B65" s="8" t="n"/>
      <c r="C65" s="8">
        <f>IFERROR(INDEX($AG65:$GA65,MATCH("職員番号*",$AG$4:$GA$4,0))&amp;"","")</f>
        <v/>
      </c>
      <c r="D65" s="8">
        <f>IFERROR(INDEX($AG65:$GA65,MATCH("氏名*",$AG$4:$GA$4,0))&amp;"","")</f>
        <v/>
      </c>
      <c r="E65" s="13" t="n"/>
      <c r="F65" s="13" t="n"/>
      <c r="G65" s="13" t="n"/>
      <c r="H65" s="14" t="n"/>
      <c r="I65" s="14" t="n"/>
      <c r="J65" s="15">
        <f>IF(AND(H65="",I65=""),"",N(H65)+N(I65))</f>
        <v/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4" t="n"/>
      <c r="U65" s="13" t="n"/>
      <c r="V65" s="13" t="n"/>
      <c r="W65" s="13" t="n"/>
      <c r="X65" s="14" t="n"/>
      <c r="Y65" s="13" t="n"/>
      <c r="Z65" s="16" t="n"/>
      <c r="AA65" s="13" t="n"/>
      <c r="AB65" s="13" t="n"/>
      <c r="AC65" s="13" t="n"/>
      <c r="AD65" s="13" t="n"/>
      <c r="AE65" s="13" t="n"/>
    </row>
    <row r="66">
      <c r="A66" s="12" t="n"/>
      <c r="B66" s="8" t="n"/>
      <c r="C66" s="8">
        <f>IFERROR(INDEX($AG66:$GA66,MATCH("職員番号*",$AG$4:$GA$4,0))&amp;"","")</f>
        <v/>
      </c>
      <c r="D66" s="8">
        <f>IFERROR(INDEX($AG66:$GA66,MATCH("氏名*",$AG$4:$GA$4,0))&amp;"","")</f>
        <v/>
      </c>
      <c r="E66" s="13" t="n"/>
      <c r="F66" s="13" t="n"/>
      <c r="G66" s="13" t="n"/>
      <c r="H66" s="14" t="n"/>
      <c r="I66" s="14" t="n"/>
      <c r="J66" s="15">
        <f>IF(AND(H66="",I66=""),"",N(H66)+N(I66))</f>
        <v/>
      </c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4" t="n"/>
      <c r="U66" s="13" t="n"/>
      <c r="V66" s="13" t="n"/>
      <c r="W66" s="13" t="n"/>
      <c r="X66" s="14" t="n"/>
      <c r="Y66" s="13" t="n"/>
      <c r="Z66" s="16" t="n"/>
      <c r="AA66" s="13" t="n"/>
      <c r="AB66" s="13" t="n"/>
      <c r="AC66" s="13" t="n"/>
      <c r="AD66" s="13" t="n"/>
      <c r="AE66" s="13" t="n"/>
    </row>
    <row r="67">
      <c r="A67" s="12" t="n"/>
      <c r="B67" s="8" t="n"/>
      <c r="C67" s="8">
        <f>IFERROR(INDEX($AG67:$GA67,MATCH("職員番号*",$AG$4:$GA$4,0))&amp;"","")</f>
        <v/>
      </c>
      <c r="D67" s="8">
        <f>IFERROR(INDEX($AG67:$GA67,MATCH("氏名*",$AG$4:$GA$4,0))&amp;"","")</f>
        <v/>
      </c>
      <c r="E67" s="13" t="n"/>
      <c r="F67" s="13" t="n"/>
      <c r="G67" s="13" t="n"/>
      <c r="H67" s="14" t="n"/>
      <c r="I67" s="14" t="n"/>
      <c r="J67" s="15">
        <f>IF(AND(H67="",I67=""),"",N(H67)+N(I67))</f>
        <v/>
      </c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4" t="n"/>
      <c r="U67" s="13" t="n"/>
      <c r="V67" s="13" t="n"/>
      <c r="W67" s="13" t="n"/>
      <c r="X67" s="14" t="n"/>
      <c r="Y67" s="13" t="n"/>
      <c r="Z67" s="16" t="n"/>
      <c r="AA67" s="13" t="n"/>
      <c r="AB67" s="13" t="n"/>
      <c r="AC67" s="13" t="n"/>
      <c r="AD67" s="13" t="n"/>
      <c r="AE67" s="13" t="n"/>
    </row>
    <row r="68">
      <c r="A68" s="12" t="n"/>
      <c r="B68" s="8" t="n"/>
      <c r="C68" s="8">
        <f>IFERROR(INDEX($AG68:$GA68,MATCH("職員番号*",$AG$4:$GA$4,0))&amp;"","")</f>
        <v/>
      </c>
      <c r="D68" s="8">
        <f>IFERROR(INDEX($AG68:$GA68,MATCH("氏名*",$AG$4:$GA$4,0))&amp;"","")</f>
        <v/>
      </c>
      <c r="E68" s="13" t="n"/>
      <c r="F68" s="13" t="n"/>
      <c r="G68" s="13" t="n"/>
      <c r="H68" s="14" t="n"/>
      <c r="I68" s="14" t="n"/>
      <c r="J68" s="15">
        <f>IF(AND(H68="",I68=""),"",N(H68)+N(I68))</f>
        <v/>
      </c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4" t="n"/>
      <c r="U68" s="13" t="n"/>
      <c r="V68" s="13" t="n"/>
      <c r="W68" s="13" t="n"/>
      <c r="X68" s="14" t="n"/>
      <c r="Y68" s="13" t="n"/>
      <c r="Z68" s="16" t="n"/>
      <c r="AA68" s="13" t="n"/>
      <c r="AB68" s="13" t="n"/>
      <c r="AC68" s="13" t="n"/>
      <c r="AD68" s="13" t="n"/>
      <c r="AE68" s="13" t="n"/>
    </row>
    <row r="69">
      <c r="A69" s="12" t="n"/>
      <c r="B69" s="8" t="n"/>
      <c r="C69" s="8">
        <f>IFERROR(INDEX($AG69:$GA69,MATCH("職員番号*",$AG$4:$GA$4,0))&amp;"","")</f>
        <v/>
      </c>
      <c r="D69" s="8">
        <f>IFERROR(INDEX($AG69:$GA69,MATCH("氏名*",$AG$4:$GA$4,0))&amp;"","")</f>
        <v/>
      </c>
      <c r="E69" s="13" t="n"/>
      <c r="F69" s="13" t="n"/>
      <c r="G69" s="13" t="n"/>
      <c r="H69" s="14" t="n"/>
      <c r="I69" s="14" t="n"/>
      <c r="J69" s="15">
        <f>IF(AND(H69="",I69=""),"",N(H69)+N(I69))</f>
        <v/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4" t="n"/>
      <c r="U69" s="13" t="n"/>
      <c r="V69" s="13" t="n"/>
      <c r="W69" s="13" t="n"/>
      <c r="X69" s="14" t="n"/>
      <c r="Y69" s="13" t="n"/>
      <c r="Z69" s="16" t="n"/>
      <c r="AA69" s="13" t="n"/>
      <c r="AB69" s="13" t="n"/>
      <c r="AC69" s="13" t="n"/>
      <c r="AD69" s="13" t="n"/>
      <c r="AE69" s="13" t="n"/>
    </row>
    <row r="70">
      <c r="A70" s="12" t="n"/>
      <c r="B70" s="8" t="n"/>
      <c r="C70" s="8">
        <f>IFERROR(INDEX($AG70:$GA70,MATCH("職員番号*",$AG$4:$GA$4,0))&amp;"","")</f>
        <v/>
      </c>
      <c r="D70" s="8">
        <f>IFERROR(INDEX($AG70:$GA70,MATCH("氏名*",$AG$4:$GA$4,0))&amp;"","")</f>
        <v/>
      </c>
      <c r="E70" s="13" t="n"/>
      <c r="F70" s="13" t="n"/>
      <c r="G70" s="13" t="n"/>
      <c r="H70" s="14" t="n"/>
      <c r="I70" s="14" t="n"/>
      <c r="J70" s="15">
        <f>IF(AND(H70="",I70=""),"",N(H70)+N(I70))</f>
        <v/>
      </c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4" t="n"/>
      <c r="U70" s="13" t="n"/>
      <c r="V70" s="13" t="n"/>
      <c r="W70" s="13" t="n"/>
      <c r="X70" s="14" t="n"/>
      <c r="Y70" s="13" t="n"/>
      <c r="Z70" s="16" t="n"/>
      <c r="AA70" s="13" t="n"/>
      <c r="AB70" s="13" t="n"/>
      <c r="AC70" s="13" t="n"/>
      <c r="AD70" s="13" t="n"/>
      <c r="AE70" s="13" t="n"/>
    </row>
    <row r="71">
      <c r="A71" s="12" t="n"/>
      <c r="B71" s="8" t="n"/>
      <c r="C71" s="8">
        <f>IFERROR(INDEX($AG71:$GA71,MATCH("職員番号*",$AG$4:$GA$4,0))&amp;"","")</f>
        <v/>
      </c>
      <c r="D71" s="8">
        <f>IFERROR(INDEX($AG71:$GA71,MATCH("氏名*",$AG$4:$GA$4,0))&amp;"","")</f>
        <v/>
      </c>
      <c r="E71" s="13" t="n"/>
      <c r="F71" s="13" t="n"/>
      <c r="G71" s="13" t="n"/>
      <c r="H71" s="14" t="n"/>
      <c r="I71" s="14" t="n"/>
      <c r="J71" s="15">
        <f>IF(AND(H71="",I71=""),"",N(H71)+N(I71))</f>
        <v/>
      </c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4" t="n"/>
      <c r="U71" s="13" t="n"/>
      <c r="V71" s="13" t="n"/>
      <c r="W71" s="13" t="n"/>
      <c r="X71" s="14" t="n"/>
      <c r="Y71" s="13" t="n"/>
      <c r="Z71" s="16" t="n"/>
      <c r="AA71" s="13" t="n"/>
      <c r="AB71" s="13" t="n"/>
      <c r="AC71" s="13" t="n"/>
      <c r="AD71" s="13" t="n"/>
      <c r="AE71" s="13" t="n"/>
    </row>
    <row r="72">
      <c r="A72" s="12" t="n"/>
      <c r="B72" s="8" t="n"/>
      <c r="C72" s="8">
        <f>IFERROR(INDEX($AG72:$GA72,MATCH("職員番号*",$AG$4:$GA$4,0))&amp;"","")</f>
        <v/>
      </c>
      <c r="D72" s="8">
        <f>IFERROR(INDEX($AG72:$GA72,MATCH("氏名*",$AG$4:$GA$4,0))&amp;"","")</f>
        <v/>
      </c>
      <c r="E72" s="13" t="n"/>
      <c r="F72" s="13" t="n"/>
      <c r="G72" s="13" t="n"/>
      <c r="H72" s="14" t="n"/>
      <c r="I72" s="14" t="n"/>
      <c r="J72" s="15">
        <f>IF(AND(H72="",I72=""),"",N(H72)+N(I72))</f>
        <v/>
      </c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4" t="n"/>
      <c r="U72" s="13" t="n"/>
      <c r="V72" s="13" t="n"/>
      <c r="W72" s="13" t="n"/>
      <c r="X72" s="14" t="n"/>
      <c r="Y72" s="13" t="n"/>
      <c r="Z72" s="16" t="n"/>
      <c r="AA72" s="13" t="n"/>
      <c r="AB72" s="13" t="n"/>
      <c r="AC72" s="13" t="n"/>
      <c r="AD72" s="13" t="n"/>
      <c r="AE72" s="13" t="n"/>
    </row>
    <row r="73">
      <c r="A73" s="12" t="n"/>
      <c r="B73" s="8" t="n"/>
      <c r="C73" s="8">
        <f>IFERROR(INDEX($AG73:$GA73,MATCH("職員番号*",$AG$4:$GA$4,0))&amp;"","")</f>
        <v/>
      </c>
      <c r="D73" s="8">
        <f>IFERROR(INDEX($AG73:$GA73,MATCH("氏名*",$AG$4:$GA$4,0))&amp;"","")</f>
        <v/>
      </c>
      <c r="E73" s="13" t="n"/>
      <c r="F73" s="13" t="n"/>
      <c r="G73" s="13" t="n"/>
      <c r="H73" s="14" t="n"/>
      <c r="I73" s="14" t="n"/>
      <c r="J73" s="15">
        <f>IF(AND(H73="",I73=""),"",N(H73)+N(I73))</f>
        <v/>
      </c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4" t="n"/>
      <c r="U73" s="13" t="n"/>
      <c r="V73" s="13" t="n"/>
      <c r="W73" s="13" t="n"/>
      <c r="X73" s="14" t="n"/>
      <c r="Y73" s="13" t="n"/>
      <c r="Z73" s="16" t="n"/>
      <c r="AA73" s="13" t="n"/>
      <c r="AB73" s="13" t="n"/>
      <c r="AC73" s="13" t="n"/>
      <c r="AD73" s="13" t="n"/>
      <c r="AE73" s="13" t="n"/>
    </row>
    <row r="74">
      <c r="A74" s="12" t="n"/>
      <c r="B74" s="8" t="n"/>
      <c r="C74" s="8">
        <f>IFERROR(INDEX($AG74:$GA74,MATCH("職員番号*",$AG$4:$GA$4,0))&amp;"","")</f>
        <v/>
      </c>
      <c r="D74" s="8">
        <f>IFERROR(INDEX($AG74:$GA74,MATCH("氏名*",$AG$4:$GA$4,0))&amp;"","")</f>
        <v/>
      </c>
      <c r="E74" s="13" t="n"/>
      <c r="F74" s="13" t="n"/>
      <c r="G74" s="13" t="n"/>
      <c r="H74" s="14" t="n"/>
      <c r="I74" s="14" t="n"/>
      <c r="J74" s="15">
        <f>IF(AND(H74="",I74=""),"",N(H74)+N(I74))</f>
        <v/>
      </c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4" t="n"/>
      <c r="U74" s="13" t="n"/>
      <c r="V74" s="13" t="n"/>
      <c r="W74" s="13" t="n"/>
      <c r="X74" s="14" t="n"/>
      <c r="Y74" s="13" t="n"/>
      <c r="Z74" s="16" t="n"/>
      <c r="AA74" s="13" t="n"/>
      <c r="AB74" s="13" t="n"/>
      <c r="AC74" s="13" t="n"/>
      <c r="AD74" s="13" t="n"/>
      <c r="AE74" s="13" t="n"/>
    </row>
    <row r="75">
      <c r="A75" s="12" t="n"/>
      <c r="B75" s="8" t="n"/>
      <c r="C75" s="8">
        <f>IFERROR(INDEX($AG75:$GA75,MATCH("職員番号*",$AG$4:$GA$4,0))&amp;"","")</f>
        <v/>
      </c>
      <c r="D75" s="8">
        <f>IFERROR(INDEX($AG75:$GA75,MATCH("氏名*",$AG$4:$GA$4,0))&amp;"","")</f>
        <v/>
      </c>
      <c r="E75" s="13" t="n"/>
      <c r="F75" s="13" t="n"/>
      <c r="G75" s="13" t="n"/>
      <c r="H75" s="14" t="n"/>
      <c r="I75" s="14" t="n"/>
      <c r="J75" s="15">
        <f>IF(AND(H75="",I75=""),"",N(H75)+N(I75))</f>
        <v/>
      </c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4" t="n"/>
      <c r="U75" s="13" t="n"/>
      <c r="V75" s="13" t="n"/>
      <c r="W75" s="13" t="n"/>
      <c r="X75" s="14" t="n"/>
      <c r="Y75" s="13" t="n"/>
      <c r="Z75" s="16" t="n"/>
      <c r="AA75" s="13" t="n"/>
      <c r="AB75" s="13" t="n"/>
      <c r="AC75" s="13" t="n"/>
      <c r="AD75" s="13" t="n"/>
      <c r="AE75" s="13" t="n"/>
    </row>
    <row r="76">
      <c r="A76" s="12" t="n"/>
      <c r="B76" s="8" t="n"/>
      <c r="C76" s="8">
        <f>IFERROR(INDEX($AG76:$GA76,MATCH("職員番号*",$AG$4:$GA$4,0))&amp;"","")</f>
        <v/>
      </c>
      <c r="D76" s="8">
        <f>IFERROR(INDEX($AG76:$GA76,MATCH("氏名*",$AG$4:$GA$4,0))&amp;"","")</f>
        <v/>
      </c>
      <c r="E76" s="13" t="n"/>
      <c r="F76" s="13" t="n"/>
      <c r="G76" s="13" t="n"/>
      <c r="H76" s="14" t="n"/>
      <c r="I76" s="14" t="n"/>
      <c r="J76" s="15">
        <f>IF(AND(H76="",I76=""),"",N(H76)+N(I76))</f>
        <v/>
      </c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4" t="n"/>
      <c r="U76" s="13" t="n"/>
      <c r="V76" s="13" t="n"/>
      <c r="W76" s="13" t="n"/>
      <c r="X76" s="14" t="n"/>
      <c r="Y76" s="13" t="n"/>
      <c r="Z76" s="16" t="n"/>
      <c r="AA76" s="13" t="n"/>
      <c r="AB76" s="13" t="n"/>
      <c r="AC76" s="13" t="n"/>
      <c r="AD76" s="13" t="n"/>
      <c r="AE76" s="13" t="n"/>
    </row>
    <row r="77">
      <c r="A77" s="12" t="n"/>
      <c r="B77" s="8" t="n"/>
      <c r="C77" s="8">
        <f>IFERROR(INDEX($AG77:$GA77,MATCH("職員番号*",$AG$4:$GA$4,0))&amp;"","")</f>
        <v/>
      </c>
      <c r="D77" s="8">
        <f>IFERROR(INDEX($AG77:$GA77,MATCH("氏名*",$AG$4:$GA$4,0))&amp;"","")</f>
        <v/>
      </c>
      <c r="E77" s="13" t="n"/>
      <c r="F77" s="13" t="n"/>
      <c r="G77" s="13" t="n"/>
      <c r="H77" s="14" t="n"/>
      <c r="I77" s="14" t="n"/>
      <c r="J77" s="15">
        <f>IF(AND(H77="",I77=""),"",N(H77)+N(I77))</f>
        <v/>
      </c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4" t="n"/>
      <c r="U77" s="13" t="n"/>
      <c r="V77" s="13" t="n"/>
      <c r="W77" s="13" t="n"/>
      <c r="X77" s="14" t="n"/>
      <c r="Y77" s="13" t="n"/>
      <c r="Z77" s="16" t="n"/>
      <c r="AA77" s="13" t="n"/>
      <c r="AB77" s="13" t="n"/>
      <c r="AC77" s="13" t="n"/>
      <c r="AD77" s="13" t="n"/>
      <c r="AE77" s="13" t="n"/>
    </row>
    <row r="78">
      <c r="A78" s="12" t="n"/>
      <c r="B78" s="8" t="n"/>
      <c r="C78" s="8">
        <f>IFERROR(INDEX($AG78:$GA78,MATCH("職員番号*",$AG$4:$GA$4,0))&amp;"","")</f>
        <v/>
      </c>
      <c r="D78" s="8">
        <f>IFERROR(INDEX($AG78:$GA78,MATCH("氏名*",$AG$4:$GA$4,0))&amp;"","")</f>
        <v/>
      </c>
      <c r="E78" s="13" t="n"/>
      <c r="F78" s="13" t="n"/>
      <c r="G78" s="13" t="n"/>
      <c r="H78" s="14" t="n"/>
      <c r="I78" s="14" t="n"/>
      <c r="J78" s="15">
        <f>IF(AND(H78="",I78=""),"",N(H78)+N(I78))</f>
        <v/>
      </c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4" t="n"/>
      <c r="U78" s="13" t="n"/>
      <c r="V78" s="13" t="n"/>
      <c r="W78" s="13" t="n"/>
      <c r="X78" s="14" t="n"/>
      <c r="Y78" s="13" t="n"/>
      <c r="Z78" s="16" t="n"/>
      <c r="AA78" s="13" t="n"/>
      <c r="AB78" s="13" t="n"/>
      <c r="AC78" s="13" t="n"/>
      <c r="AD78" s="13" t="n"/>
      <c r="AE78" s="13" t="n"/>
    </row>
    <row r="79">
      <c r="A79" s="12" t="n"/>
      <c r="B79" s="8" t="n"/>
      <c r="C79" s="8">
        <f>IFERROR(INDEX($AG79:$GA79,MATCH("職員番号*",$AG$4:$GA$4,0))&amp;"","")</f>
        <v/>
      </c>
      <c r="D79" s="8">
        <f>IFERROR(INDEX($AG79:$GA79,MATCH("氏名*",$AG$4:$GA$4,0))&amp;"","")</f>
        <v/>
      </c>
      <c r="E79" s="13" t="n"/>
      <c r="F79" s="13" t="n"/>
      <c r="G79" s="13" t="n"/>
      <c r="H79" s="14" t="n"/>
      <c r="I79" s="14" t="n"/>
      <c r="J79" s="15">
        <f>IF(AND(H79="",I79=""),"",N(H79)+N(I79))</f>
        <v/>
      </c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4" t="n"/>
      <c r="U79" s="13" t="n"/>
      <c r="V79" s="13" t="n"/>
      <c r="W79" s="13" t="n"/>
      <c r="X79" s="14" t="n"/>
      <c r="Y79" s="13" t="n"/>
      <c r="Z79" s="16" t="n"/>
      <c r="AA79" s="13" t="n"/>
      <c r="AB79" s="13" t="n"/>
      <c r="AC79" s="13" t="n"/>
      <c r="AD79" s="13" t="n"/>
      <c r="AE79" s="13" t="n"/>
    </row>
    <row r="80">
      <c r="A80" s="12" t="n"/>
      <c r="B80" s="8" t="n"/>
      <c r="C80" s="8">
        <f>IFERROR(INDEX($AG80:$GA80,MATCH("職員番号*",$AG$4:$GA$4,0))&amp;"","")</f>
        <v/>
      </c>
      <c r="D80" s="8">
        <f>IFERROR(INDEX($AG80:$GA80,MATCH("氏名*",$AG$4:$GA$4,0))&amp;"","")</f>
        <v/>
      </c>
      <c r="E80" s="13" t="n"/>
      <c r="F80" s="13" t="n"/>
      <c r="G80" s="13" t="n"/>
      <c r="H80" s="14" t="n"/>
      <c r="I80" s="14" t="n"/>
      <c r="J80" s="15">
        <f>IF(AND(H80="",I80=""),"",N(H80)+N(I80))</f>
        <v/>
      </c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4" t="n"/>
      <c r="U80" s="13" t="n"/>
      <c r="V80" s="13" t="n"/>
      <c r="W80" s="13" t="n"/>
      <c r="X80" s="14" t="n"/>
      <c r="Y80" s="13" t="n"/>
      <c r="Z80" s="16" t="n"/>
      <c r="AA80" s="13" t="n"/>
      <c r="AB80" s="13" t="n"/>
      <c r="AC80" s="13" t="n"/>
      <c r="AD80" s="13" t="n"/>
      <c r="AE80" s="13" t="n"/>
    </row>
    <row r="81">
      <c r="A81" s="12" t="n"/>
      <c r="B81" s="8" t="n"/>
      <c r="C81" s="8">
        <f>IFERROR(INDEX($AG81:$GA81,MATCH("職員番号*",$AG$4:$GA$4,0))&amp;"","")</f>
        <v/>
      </c>
      <c r="D81" s="8">
        <f>IFERROR(INDEX($AG81:$GA81,MATCH("氏名*",$AG$4:$GA$4,0))&amp;"","")</f>
        <v/>
      </c>
      <c r="E81" s="13" t="n"/>
      <c r="F81" s="13" t="n"/>
      <c r="G81" s="13" t="n"/>
      <c r="H81" s="14" t="n"/>
      <c r="I81" s="14" t="n"/>
      <c r="J81" s="15">
        <f>IF(AND(H81="",I81=""),"",N(H81)+N(I81))</f>
        <v/>
      </c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4" t="n"/>
      <c r="U81" s="13" t="n"/>
      <c r="V81" s="13" t="n"/>
      <c r="W81" s="13" t="n"/>
      <c r="X81" s="14" t="n"/>
      <c r="Y81" s="13" t="n"/>
      <c r="Z81" s="16" t="n"/>
      <c r="AA81" s="13" t="n"/>
      <c r="AB81" s="13" t="n"/>
      <c r="AC81" s="13" t="n"/>
      <c r="AD81" s="13" t="n"/>
      <c r="AE81" s="13" t="n"/>
    </row>
    <row r="82">
      <c r="A82" s="12" t="n"/>
      <c r="B82" s="8" t="n"/>
      <c r="C82" s="8">
        <f>IFERROR(INDEX($AG82:$GA82,MATCH("職員番号*",$AG$4:$GA$4,0))&amp;"","")</f>
        <v/>
      </c>
      <c r="D82" s="8">
        <f>IFERROR(INDEX($AG82:$GA82,MATCH("氏名*",$AG$4:$GA$4,0))&amp;"","")</f>
        <v/>
      </c>
      <c r="E82" s="13" t="n"/>
      <c r="F82" s="13" t="n"/>
      <c r="G82" s="13" t="n"/>
      <c r="H82" s="14" t="n"/>
      <c r="I82" s="14" t="n"/>
      <c r="J82" s="15">
        <f>IF(AND(H82="",I82=""),"",N(H82)+N(I82))</f>
        <v/>
      </c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4" t="n"/>
      <c r="U82" s="13" t="n"/>
      <c r="V82" s="13" t="n"/>
      <c r="W82" s="13" t="n"/>
      <c r="X82" s="14" t="n"/>
      <c r="Y82" s="13" t="n"/>
      <c r="Z82" s="16" t="n"/>
      <c r="AA82" s="13" t="n"/>
      <c r="AB82" s="13" t="n"/>
      <c r="AC82" s="13" t="n"/>
      <c r="AD82" s="13" t="n"/>
      <c r="AE82" s="13" t="n"/>
    </row>
    <row r="83">
      <c r="A83" s="12" t="n"/>
      <c r="B83" s="8" t="n"/>
      <c r="C83" s="8">
        <f>IFERROR(INDEX($AG83:$GA83,MATCH("職員番号*",$AG$4:$GA$4,0))&amp;"","")</f>
        <v/>
      </c>
      <c r="D83" s="8">
        <f>IFERROR(INDEX($AG83:$GA83,MATCH("氏名*",$AG$4:$GA$4,0))&amp;"","")</f>
        <v/>
      </c>
      <c r="E83" s="13" t="n"/>
      <c r="F83" s="13" t="n"/>
      <c r="G83" s="13" t="n"/>
      <c r="H83" s="14" t="n"/>
      <c r="I83" s="14" t="n"/>
      <c r="J83" s="15">
        <f>IF(AND(H83="",I83=""),"",N(H83)+N(I83))</f>
        <v/>
      </c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4" t="n"/>
      <c r="U83" s="13" t="n"/>
      <c r="V83" s="13" t="n"/>
      <c r="W83" s="13" t="n"/>
      <c r="X83" s="14" t="n"/>
      <c r="Y83" s="13" t="n"/>
      <c r="Z83" s="16" t="n"/>
      <c r="AA83" s="13" t="n"/>
      <c r="AB83" s="13" t="n"/>
      <c r="AC83" s="13" t="n"/>
      <c r="AD83" s="13" t="n"/>
      <c r="AE83" s="13" t="n"/>
    </row>
    <row r="84">
      <c r="A84" s="12" t="n"/>
      <c r="B84" s="8" t="n"/>
      <c r="C84" s="8">
        <f>IFERROR(INDEX($AG84:$GA84,MATCH("職員番号*",$AG$4:$GA$4,0))&amp;"","")</f>
        <v/>
      </c>
      <c r="D84" s="8">
        <f>IFERROR(INDEX($AG84:$GA84,MATCH("氏名*",$AG$4:$GA$4,0))&amp;"","")</f>
        <v/>
      </c>
      <c r="E84" s="13" t="n"/>
      <c r="F84" s="13" t="n"/>
      <c r="G84" s="13" t="n"/>
      <c r="H84" s="14" t="n"/>
      <c r="I84" s="14" t="n"/>
      <c r="J84" s="15">
        <f>IF(AND(H84="",I84=""),"",N(H84)+N(I84))</f>
        <v/>
      </c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4" t="n"/>
      <c r="U84" s="13" t="n"/>
      <c r="V84" s="13" t="n"/>
      <c r="W84" s="13" t="n"/>
      <c r="X84" s="14" t="n"/>
      <c r="Y84" s="13" t="n"/>
      <c r="Z84" s="16" t="n"/>
      <c r="AA84" s="13" t="n"/>
      <c r="AB84" s="13" t="n"/>
      <c r="AC84" s="13" t="n"/>
      <c r="AD84" s="13" t="n"/>
      <c r="AE84" s="13" t="n"/>
    </row>
    <row r="85">
      <c r="A85" s="12" t="n"/>
      <c r="B85" s="8" t="n"/>
      <c r="C85" s="8">
        <f>IFERROR(INDEX($AG85:$GA85,MATCH("職員番号*",$AG$4:$GA$4,0))&amp;"","")</f>
        <v/>
      </c>
      <c r="D85" s="8">
        <f>IFERROR(INDEX($AG85:$GA85,MATCH("氏名*",$AG$4:$GA$4,0))&amp;"","")</f>
        <v/>
      </c>
      <c r="E85" s="13" t="n"/>
      <c r="F85" s="13" t="n"/>
      <c r="G85" s="13" t="n"/>
      <c r="H85" s="14" t="n"/>
      <c r="I85" s="14" t="n"/>
      <c r="J85" s="15">
        <f>IF(AND(H85="",I85=""),"",N(H85)+N(I85))</f>
        <v/>
      </c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4" t="n"/>
      <c r="U85" s="13" t="n"/>
      <c r="V85" s="13" t="n"/>
      <c r="W85" s="13" t="n"/>
      <c r="X85" s="14" t="n"/>
      <c r="Y85" s="13" t="n"/>
      <c r="Z85" s="16" t="n"/>
      <c r="AA85" s="13" t="n"/>
      <c r="AB85" s="13" t="n"/>
      <c r="AC85" s="13" t="n"/>
      <c r="AD85" s="13" t="n"/>
      <c r="AE85" s="13" t="n"/>
    </row>
    <row r="86">
      <c r="A86" s="12" t="n"/>
      <c r="B86" s="8" t="n"/>
      <c r="C86" s="8">
        <f>IFERROR(INDEX($AG86:$GA86,MATCH("職員番号*",$AG$4:$GA$4,0))&amp;"","")</f>
        <v/>
      </c>
      <c r="D86" s="8">
        <f>IFERROR(INDEX($AG86:$GA86,MATCH("氏名*",$AG$4:$GA$4,0))&amp;"","")</f>
        <v/>
      </c>
      <c r="E86" s="13" t="n"/>
      <c r="F86" s="13" t="n"/>
      <c r="G86" s="13" t="n"/>
      <c r="H86" s="14" t="n"/>
      <c r="I86" s="14" t="n"/>
      <c r="J86" s="15">
        <f>IF(AND(H86="",I86=""),"",N(H86)+N(I86))</f>
        <v/>
      </c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4" t="n"/>
      <c r="U86" s="13" t="n"/>
      <c r="V86" s="13" t="n"/>
      <c r="W86" s="13" t="n"/>
      <c r="X86" s="14" t="n"/>
      <c r="Y86" s="13" t="n"/>
      <c r="Z86" s="16" t="n"/>
      <c r="AA86" s="13" t="n"/>
      <c r="AB86" s="13" t="n"/>
      <c r="AC86" s="13" t="n"/>
      <c r="AD86" s="13" t="n"/>
      <c r="AE86" s="13" t="n"/>
    </row>
    <row r="87">
      <c r="A87" s="12" t="n"/>
      <c r="B87" s="8" t="n"/>
      <c r="C87" s="8">
        <f>IFERROR(INDEX($AG87:$GA87,MATCH("職員番号*",$AG$4:$GA$4,0))&amp;"","")</f>
        <v/>
      </c>
      <c r="D87" s="8">
        <f>IFERROR(INDEX($AG87:$GA87,MATCH("氏名*",$AG$4:$GA$4,0))&amp;"","")</f>
        <v/>
      </c>
      <c r="E87" s="13" t="n"/>
      <c r="F87" s="13" t="n"/>
      <c r="G87" s="13" t="n"/>
      <c r="H87" s="14" t="n"/>
      <c r="I87" s="14" t="n"/>
      <c r="J87" s="15">
        <f>IF(AND(H87="",I87=""),"",N(H87)+N(I87))</f>
        <v/>
      </c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4" t="n"/>
      <c r="U87" s="13" t="n"/>
      <c r="V87" s="13" t="n"/>
      <c r="W87" s="13" t="n"/>
      <c r="X87" s="14" t="n"/>
      <c r="Y87" s="13" t="n"/>
      <c r="Z87" s="16" t="n"/>
      <c r="AA87" s="13" t="n"/>
      <c r="AB87" s="13" t="n"/>
      <c r="AC87" s="13" t="n"/>
      <c r="AD87" s="13" t="n"/>
      <c r="AE87" s="13" t="n"/>
    </row>
    <row r="88">
      <c r="A88" s="12" t="n"/>
      <c r="B88" s="8" t="n"/>
      <c r="C88" s="8">
        <f>IFERROR(INDEX($AG88:$GA88,MATCH("職員番号*",$AG$4:$GA$4,0))&amp;"","")</f>
        <v/>
      </c>
      <c r="D88" s="8">
        <f>IFERROR(INDEX($AG88:$GA88,MATCH("氏名*",$AG$4:$GA$4,0))&amp;"","")</f>
        <v/>
      </c>
      <c r="E88" s="13" t="n"/>
      <c r="F88" s="13" t="n"/>
      <c r="G88" s="13" t="n"/>
      <c r="H88" s="14" t="n"/>
      <c r="I88" s="14" t="n"/>
      <c r="J88" s="15">
        <f>IF(AND(H88="",I88=""),"",N(H88)+N(I88))</f>
        <v/>
      </c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4" t="n"/>
      <c r="U88" s="13" t="n"/>
      <c r="V88" s="13" t="n"/>
      <c r="W88" s="13" t="n"/>
      <c r="X88" s="14" t="n"/>
      <c r="Y88" s="13" t="n"/>
      <c r="Z88" s="16" t="n"/>
      <c r="AA88" s="13" t="n"/>
      <c r="AB88" s="13" t="n"/>
      <c r="AC88" s="13" t="n"/>
      <c r="AD88" s="13" t="n"/>
      <c r="AE88" s="13" t="n"/>
    </row>
    <row r="89">
      <c r="A89" s="12" t="n"/>
      <c r="B89" s="8" t="n"/>
      <c r="C89" s="8">
        <f>IFERROR(INDEX($AG89:$GA89,MATCH("職員番号*",$AG$4:$GA$4,0))&amp;"","")</f>
        <v/>
      </c>
      <c r="D89" s="8">
        <f>IFERROR(INDEX($AG89:$GA89,MATCH("氏名*",$AG$4:$GA$4,0))&amp;"","")</f>
        <v/>
      </c>
      <c r="E89" s="13" t="n"/>
      <c r="F89" s="13" t="n"/>
      <c r="G89" s="13" t="n"/>
      <c r="H89" s="14" t="n"/>
      <c r="I89" s="14" t="n"/>
      <c r="J89" s="15">
        <f>IF(AND(H89="",I89=""),"",N(H89)+N(I89))</f>
        <v/>
      </c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4" t="n"/>
      <c r="U89" s="13" t="n"/>
      <c r="V89" s="13" t="n"/>
      <c r="W89" s="13" t="n"/>
      <c r="X89" s="14" t="n"/>
      <c r="Y89" s="13" t="n"/>
      <c r="Z89" s="16" t="n"/>
      <c r="AA89" s="13" t="n"/>
      <c r="AB89" s="13" t="n"/>
      <c r="AC89" s="13" t="n"/>
      <c r="AD89" s="13" t="n"/>
      <c r="AE89" s="13" t="n"/>
    </row>
    <row r="90">
      <c r="A90" s="12" t="n"/>
      <c r="B90" s="8" t="n"/>
      <c r="C90" s="8">
        <f>IFERROR(INDEX($AG90:$GA90,MATCH("職員番号*",$AG$4:$GA$4,0))&amp;"","")</f>
        <v/>
      </c>
      <c r="D90" s="8">
        <f>IFERROR(INDEX($AG90:$GA90,MATCH("氏名*",$AG$4:$GA$4,0))&amp;"","")</f>
        <v/>
      </c>
      <c r="E90" s="13" t="n"/>
      <c r="F90" s="13" t="n"/>
      <c r="G90" s="13" t="n"/>
      <c r="H90" s="14" t="n"/>
      <c r="I90" s="14" t="n"/>
      <c r="J90" s="15">
        <f>IF(AND(H90="",I90=""),"",N(H90)+N(I90))</f>
        <v/>
      </c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4" t="n"/>
      <c r="U90" s="13" t="n"/>
      <c r="V90" s="13" t="n"/>
      <c r="W90" s="13" t="n"/>
      <c r="X90" s="14" t="n"/>
      <c r="Y90" s="13" t="n"/>
      <c r="Z90" s="16" t="n"/>
      <c r="AA90" s="13" t="n"/>
      <c r="AB90" s="13" t="n"/>
      <c r="AC90" s="13" t="n"/>
      <c r="AD90" s="13" t="n"/>
      <c r="AE90" s="13" t="n"/>
    </row>
    <row r="91">
      <c r="A91" s="12" t="n"/>
      <c r="B91" s="8" t="n"/>
      <c r="C91" s="8">
        <f>IFERROR(INDEX($AG91:$GA91,MATCH("職員番号*",$AG$4:$GA$4,0))&amp;"","")</f>
        <v/>
      </c>
      <c r="D91" s="8">
        <f>IFERROR(INDEX($AG91:$GA91,MATCH("氏名*",$AG$4:$GA$4,0))&amp;"","")</f>
        <v/>
      </c>
      <c r="E91" s="13" t="n"/>
      <c r="F91" s="13" t="n"/>
      <c r="G91" s="13" t="n"/>
      <c r="H91" s="14" t="n"/>
      <c r="I91" s="14" t="n"/>
      <c r="J91" s="15">
        <f>IF(AND(H91="",I91=""),"",N(H91)+N(I91))</f>
        <v/>
      </c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4" t="n"/>
      <c r="U91" s="13" t="n"/>
      <c r="V91" s="13" t="n"/>
      <c r="W91" s="13" t="n"/>
      <c r="X91" s="14" t="n"/>
      <c r="Y91" s="13" t="n"/>
      <c r="Z91" s="16" t="n"/>
      <c r="AA91" s="13" t="n"/>
      <c r="AB91" s="13" t="n"/>
      <c r="AC91" s="13" t="n"/>
      <c r="AD91" s="13" t="n"/>
      <c r="AE91" s="13" t="n"/>
    </row>
    <row r="92">
      <c r="A92" s="12" t="n"/>
      <c r="B92" s="8" t="n"/>
      <c r="C92" s="8">
        <f>IFERROR(INDEX($AG92:$GA92,MATCH("職員番号*",$AG$4:$GA$4,0))&amp;"","")</f>
        <v/>
      </c>
      <c r="D92" s="8">
        <f>IFERROR(INDEX($AG92:$GA92,MATCH("氏名*",$AG$4:$GA$4,0))&amp;"","")</f>
        <v/>
      </c>
      <c r="E92" s="13" t="n"/>
      <c r="F92" s="13" t="n"/>
      <c r="G92" s="13" t="n"/>
      <c r="H92" s="14" t="n"/>
      <c r="I92" s="14" t="n"/>
      <c r="J92" s="15">
        <f>IF(AND(H92="",I92=""),"",N(H92)+N(I92))</f>
        <v/>
      </c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4" t="n"/>
      <c r="U92" s="13" t="n"/>
      <c r="V92" s="13" t="n"/>
      <c r="W92" s="13" t="n"/>
      <c r="X92" s="14" t="n"/>
      <c r="Y92" s="13" t="n"/>
      <c r="Z92" s="16" t="n"/>
      <c r="AA92" s="13" t="n"/>
      <c r="AB92" s="13" t="n"/>
      <c r="AC92" s="13" t="n"/>
      <c r="AD92" s="13" t="n"/>
      <c r="AE92" s="13" t="n"/>
    </row>
    <row r="93">
      <c r="A93" s="12" t="n"/>
      <c r="B93" s="8" t="n"/>
      <c r="C93" s="8">
        <f>IFERROR(INDEX($AG93:$GA93,MATCH("職員番号*",$AG$4:$GA$4,0))&amp;"","")</f>
        <v/>
      </c>
      <c r="D93" s="8">
        <f>IFERROR(INDEX($AG93:$GA93,MATCH("氏名*",$AG$4:$GA$4,0))&amp;"","")</f>
        <v/>
      </c>
      <c r="E93" s="13" t="n"/>
      <c r="F93" s="13" t="n"/>
      <c r="G93" s="13" t="n"/>
      <c r="H93" s="14" t="n"/>
      <c r="I93" s="14" t="n"/>
      <c r="J93" s="15">
        <f>IF(AND(H93="",I93=""),"",N(H93)+N(I93))</f>
        <v/>
      </c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4" t="n"/>
      <c r="U93" s="13" t="n"/>
      <c r="V93" s="13" t="n"/>
      <c r="W93" s="13" t="n"/>
      <c r="X93" s="14" t="n"/>
      <c r="Y93" s="13" t="n"/>
      <c r="Z93" s="16" t="n"/>
      <c r="AA93" s="13" t="n"/>
      <c r="AB93" s="13" t="n"/>
      <c r="AC93" s="13" t="n"/>
      <c r="AD93" s="13" t="n"/>
      <c r="AE93" s="13" t="n"/>
    </row>
    <row r="94">
      <c r="A94" s="12" t="n"/>
      <c r="B94" s="8" t="n"/>
      <c r="C94" s="8">
        <f>IFERROR(INDEX($AG94:$GA94,MATCH("職員番号*",$AG$4:$GA$4,0))&amp;"","")</f>
        <v/>
      </c>
      <c r="D94" s="8">
        <f>IFERROR(INDEX($AG94:$GA94,MATCH("氏名*",$AG$4:$GA$4,0))&amp;"","")</f>
        <v/>
      </c>
      <c r="E94" s="13" t="n"/>
      <c r="F94" s="13" t="n"/>
      <c r="G94" s="13" t="n"/>
      <c r="H94" s="14" t="n"/>
      <c r="I94" s="14" t="n"/>
      <c r="J94" s="15">
        <f>IF(AND(H94="",I94=""),"",N(H94)+N(I94))</f>
        <v/>
      </c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4" t="n"/>
      <c r="U94" s="13" t="n"/>
      <c r="V94" s="13" t="n"/>
      <c r="W94" s="13" t="n"/>
      <c r="X94" s="14" t="n"/>
      <c r="Y94" s="13" t="n"/>
      <c r="Z94" s="16" t="n"/>
      <c r="AA94" s="13" t="n"/>
      <c r="AB94" s="13" t="n"/>
      <c r="AC94" s="13" t="n"/>
      <c r="AD94" s="13" t="n"/>
      <c r="AE94" s="13" t="n"/>
    </row>
    <row r="95">
      <c r="A95" s="12" t="n"/>
      <c r="B95" s="8" t="n"/>
      <c r="C95" s="8">
        <f>IFERROR(INDEX($AG95:$GA95,MATCH("職員番号*",$AG$4:$GA$4,0))&amp;"","")</f>
        <v/>
      </c>
      <c r="D95" s="8">
        <f>IFERROR(INDEX($AG95:$GA95,MATCH("氏名*",$AG$4:$GA$4,0))&amp;"","")</f>
        <v/>
      </c>
      <c r="E95" s="13" t="n"/>
      <c r="F95" s="13" t="n"/>
      <c r="G95" s="13" t="n"/>
      <c r="H95" s="14" t="n"/>
      <c r="I95" s="14" t="n"/>
      <c r="J95" s="15">
        <f>IF(AND(H95="",I95=""),"",N(H95)+N(I95))</f>
        <v/>
      </c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4" t="n"/>
      <c r="U95" s="13" t="n"/>
      <c r="V95" s="13" t="n"/>
      <c r="W95" s="13" t="n"/>
      <c r="X95" s="14" t="n"/>
      <c r="Y95" s="13" t="n"/>
      <c r="Z95" s="16" t="n"/>
      <c r="AA95" s="13" t="n"/>
      <c r="AB95" s="13" t="n"/>
      <c r="AC95" s="13" t="n"/>
      <c r="AD95" s="13" t="n"/>
      <c r="AE95" s="13" t="n"/>
    </row>
    <row r="96">
      <c r="A96" s="12" t="n"/>
      <c r="B96" s="8" t="n"/>
      <c r="C96" s="8">
        <f>IFERROR(INDEX($AG96:$GA96,MATCH("職員番号*",$AG$4:$GA$4,0))&amp;"","")</f>
        <v/>
      </c>
      <c r="D96" s="8">
        <f>IFERROR(INDEX($AG96:$GA96,MATCH("氏名*",$AG$4:$GA$4,0))&amp;"","")</f>
        <v/>
      </c>
      <c r="E96" s="13" t="n"/>
      <c r="F96" s="13" t="n"/>
      <c r="G96" s="13" t="n"/>
      <c r="H96" s="14" t="n"/>
      <c r="I96" s="14" t="n"/>
      <c r="J96" s="15">
        <f>IF(AND(H96="",I96=""),"",N(H96)+N(I96))</f>
        <v/>
      </c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4" t="n"/>
      <c r="U96" s="13" t="n"/>
      <c r="V96" s="13" t="n"/>
      <c r="W96" s="13" t="n"/>
      <c r="X96" s="14" t="n"/>
      <c r="Y96" s="13" t="n"/>
      <c r="Z96" s="16" t="n"/>
      <c r="AA96" s="13" t="n"/>
      <c r="AB96" s="13" t="n"/>
      <c r="AC96" s="13" t="n"/>
      <c r="AD96" s="13" t="n"/>
      <c r="AE96" s="13" t="n"/>
    </row>
    <row r="97">
      <c r="A97" s="12" t="n"/>
      <c r="B97" s="8" t="n"/>
      <c r="C97" s="8">
        <f>IFERROR(INDEX($AG97:$GA97,MATCH("職員番号*",$AG$4:$GA$4,0))&amp;"","")</f>
        <v/>
      </c>
      <c r="D97" s="8">
        <f>IFERROR(INDEX($AG97:$GA97,MATCH("氏名*",$AG$4:$GA$4,0))&amp;"","")</f>
        <v/>
      </c>
      <c r="E97" s="13" t="n"/>
      <c r="F97" s="13" t="n"/>
      <c r="G97" s="13" t="n"/>
      <c r="H97" s="14" t="n"/>
      <c r="I97" s="14" t="n"/>
      <c r="J97" s="15">
        <f>IF(AND(H97="",I97=""),"",N(H97)+N(I97))</f>
        <v/>
      </c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4" t="n"/>
      <c r="U97" s="13" t="n"/>
      <c r="V97" s="13" t="n"/>
      <c r="W97" s="13" t="n"/>
      <c r="X97" s="14" t="n"/>
      <c r="Y97" s="13" t="n"/>
      <c r="Z97" s="16" t="n"/>
      <c r="AA97" s="13" t="n"/>
      <c r="AB97" s="13" t="n"/>
      <c r="AC97" s="13" t="n"/>
      <c r="AD97" s="13" t="n"/>
      <c r="AE97" s="13" t="n"/>
    </row>
    <row r="98">
      <c r="A98" s="12" t="n"/>
      <c r="B98" s="8" t="n"/>
      <c r="C98" s="8">
        <f>IFERROR(INDEX($AG98:$GA98,MATCH("職員番号*",$AG$4:$GA$4,0))&amp;"","")</f>
        <v/>
      </c>
      <c r="D98" s="8">
        <f>IFERROR(INDEX($AG98:$GA98,MATCH("氏名*",$AG$4:$GA$4,0))&amp;"","")</f>
        <v/>
      </c>
      <c r="E98" s="13" t="n"/>
      <c r="F98" s="13" t="n"/>
      <c r="G98" s="13" t="n"/>
      <c r="H98" s="14" t="n"/>
      <c r="I98" s="14" t="n"/>
      <c r="J98" s="15">
        <f>IF(AND(H98="",I98=""),"",N(H98)+N(I98))</f>
        <v/>
      </c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4" t="n"/>
      <c r="U98" s="13" t="n"/>
      <c r="V98" s="13" t="n"/>
      <c r="W98" s="13" t="n"/>
      <c r="X98" s="14" t="n"/>
      <c r="Y98" s="13" t="n"/>
      <c r="Z98" s="16" t="n"/>
      <c r="AA98" s="13" t="n"/>
      <c r="AB98" s="13" t="n"/>
      <c r="AC98" s="13" t="n"/>
      <c r="AD98" s="13" t="n"/>
      <c r="AE98" s="13" t="n"/>
    </row>
    <row r="99">
      <c r="A99" s="12" t="n"/>
      <c r="B99" s="8" t="n"/>
      <c r="C99" s="8">
        <f>IFERROR(INDEX($AG99:$GA99,MATCH("職員番号*",$AG$4:$GA$4,0))&amp;"","")</f>
        <v/>
      </c>
      <c r="D99" s="8">
        <f>IFERROR(INDEX($AG99:$GA99,MATCH("氏名*",$AG$4:$GA$4,0))&amp;"","")</f>
        <v/>
      </c>
      <c r="E99" s="13" t="n"/>
      <c r="F99" s="13" t="n"/>
      <c r="G99" s="13" t="n"/>
      <c r="H99" s="14" t="n"/>
      <c r="I99" s="14" t="n"/>
      <c r="J99" s="15">
        <f>IF(AND(H99="",I99=""),"",N(H99)+N(I99))</f>
        <v/>
      </c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4" t="n"/>
      <c r="U99" s="13" t="n"/>
      <c r="V99" s="13" t="n"/>
      <c r="W99" s="13" t="n"/>
      <c r="X99" s="14" t="n"/>
      <c r="Y99" s="13" t="n"/>
      <c r="Z99" s="16" t="n"/>
      <c r="AA99" s="13" t="n"/>
      <c r="AB99" s="13" t="n"/>
      <c r="AC99" s="13" t="n"/>
      <c r="AD99" s="13" t="n"/>
      <c r="AE99" s="13" t="n"/>
    </row>
    <row r="100">
      <c r="A100" s="12" t="n"/>
      <c r="B100" s="8" t="n"/>
      <c r="C100" s="8">
        <f>IFERROR(INDEX($AG100:$GA100,MATCH("職員番号*",$AG$4:$GA$4,0))&amp;"","")</f>
        <v/>
      </c>
      <c r="D100" s="8">
        <f>IFERROR(INDEX($AG100:$GA100,MATCH("氏名*",$AG$4:$GA$4,0))&amp;"","")</f>
        <v/>
      </c>
      <c r="E100" s="13" t="n"/>
      <c r="F100" s="13" t="n"/>
      <c r="G100" s="13" t="n"/>
      <c r="H100" s="14" t="n"/>
      <c r="I100" s="14" t="n"/>
      <c r="J100" s="15">
        <f>IF(AND(H100="",I100=""),"",N(H100)+N(I100))</f>
        <v/>
      </c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4" t="n"/>
      <c r="U100" s="13" t="n"/>
      <c r="V100" s="13" t="n"/>
      <c r="W100" s="13" t="n"/>
      <c r="X100" s="14" t="n"/>
      <c r="Y100" s="13" t="n"/>
      <c r="Z100" s="16" t="n"/>
      <c r="AA100" s="13" t="n"/>
      <c r="AB100" s="13" t="n"/>
      <c r="AC100" s="13" t="n"/>
      <c r="AD100" s="13" t="n"/>
      <c r="AE100" s="13" t="n"/>
    </row>
    <row r="101">
      <c r="A101" s="12" t="n"/>
      <c r="B101" s="8" t="n"/>
      <c r="C101" s="8">
        <f>IFERROR(INDEX($AG101:$GA101,MATCH("職員番号*",$AG$4:$GA$4,0))&amp;"","")</f>
        <v/>
      </c>
      <c r="D101" s="8">
        <f>IFERROR(INDEX($AG101:$GA101,MATCH("氏名*",$AG$4:$GA$4,0))&amp;"","")</f>
        <v/>
      </c>
      <c r="E101" s="13" t="n"/>
      <c r="F101" s="13" t="n"/>
      <c r="G101" s="13" t="n"/>
      <c r="H101" s="14" t="n"/>
      <c r="I101" s="14" t="n"/>
      <c r="J101" s="15">
        <f>IF(AND(H101="",I101=""),"",N(H101)+N(I101))</f>
        <v/>
      </c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4" t="n"/>
      <c r="U101" s="13" t="n"/>
      <c r="V101" s="13" t="n"/>
      <c r="W101" s="13" t="n"/>
      <c r="X101" s="14" t="n"/>
      <c r="Y101" s="13" t="n"/>
      <c r="Z101" s="16" t="n"/>
      <c r="AA101" s="13" t="n"/>
      <c r="AB101" s="13" t="n"/>
      <c r="AC101" s="13" t="n"/>
      <c r="AD101" s="13" t="n"/>
      <c r="AE101" s="13" t="n"/>
    </row>
    <row r="102">
      <c r="A102" s="12" t="n"/>
      <c r="B102" s="8" t="n"/>
      <c r="C102" s="8">
        <f>IFERROR(INDEX($AG102:$GA102,MATCH("職員番号*",$AG$4:$GA$4,0))&amp;"","")</f>
        <v/>
      </c>
      <c r="D102" s="8">
        <f>IFERROR(INDEX($AG102:$GA102,MATCH("氏名*",$AG$4:$GA$4,0))&amp;"","")</f>
        <v/>
      </c>
      <c r="E102" s="13" t="n"/>
      <c r="F102" s="13" t="n"/>
      <c r="G102" s="13" t="n"/>
      <c r="H102" s="14" t="n"/>
      <c r="I102" s="14" t="n"/>
      <c r="J102" s="15">
        <f>IF(AND(H102="",I102=""),"",N(H102)+N(I102))</f>
        <v/>
      </c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4" t="n"/>
      <c r="U102" s="13" t="n"/>
      <c r="V102" s="13" t="n"/>
      <c r="W102" s="13" t="n"/>
      <c r="X102" s="14" t="n"/>
      <c r="Y102" s="13" t="n"/>
      <c r="Z102" s="16" t="n"/>
      <c r="AA102" s="13" t="n"/>
      <c r="AB102" s="13" t="n"/>
      <c r="AC102" s="13" t="n"/>
      <c r="AD102" s="13" t="n"/>
      <c r="AE102" s="13" t="n"/>
    </row>
    <row r="103">
      <c r="A103" s="12" t="n"/>
      <c r="B103" s="8" t="n"/>
      <c r="C103" s="8">
        <f>IFERROR(INDEX($AG103:$GA103,MATCH("職員番号*",$AG$4:$GA$4,0))&amp;"","")</f>
        <v/>
      </c>
      <c r="D103" s="8">
        <f>IFERROR(INDEX($AG103:$GA103,MATCH("氏名*",$AG$4:$GA$4,0))&amp;"","")</f>
        <v/>
      </c>
      <c r="E103" s="13" t="n"/>
      <c r="F103" s="13" t="n"/>
      <c r="G103" s="13" t="n"/>
      <c r="H103" s="14" t="n"/>
      <c r="I103" s="14" t="n"/>
      <c r="J103" s="15">
        <f>IF(AND(H103="",I103=""),"",N(H103)+N(I103))</f>
        <v/>
      </c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4" t="n"/>
      <c r="U103" s="13" t="n"/>
      <c r="V103" s="13" t="n"/>
      <c r="W103" s="13" t="n"/>
      <c r="X103" s="14" t="n"/>
      <c r="Y103" s="13" t="n"/>
      <c r="Z103" s="16" t="n"/>
      <c r="AA103" s="13" t="n"/>
      <c r="AB103" s="13" t="n"/>
      <c r="AC103" s="13" t="n"/>
      <c r="AD103" s="13" t="n"/>
      <c r="AE103" s="13" t="n"/>
    </row>
    <row r="104">
      <c r="A104" s="12" t="n"/>
      <c r="B104" s="8" t="n"/>
      <c r="C104" s="8">
        <f>IFERROR(INDEX($AG104:$GA104,MATCH("職員番号*",$AG$4:$GA$4,0))&amp;"","")</f>
        <v/>
      </c>
      <c r="D104" s="8">
        <f>IFERROR(INDEX($AG104:$GA104,MATCH("氏名*",$AG$4:$GA$4,0))&amp;"","")</f>
        <v/>
      </c>
      <c r="E104" s="13" t="n"/>
      <c r="F104" s="13" t="n"/>
      <c r="G104" s="13" t="n"/>
      <c r="H104" s="14" t="n"/>
      <c r="I104" s="14" t="n"/>
      <c r="J104" s="15">
        <f>IF(AND(H104="",I104=""),"",N(H104)+N(I104))</f>
        <v/>
      </c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4" t="n"/>
      <c r="U104" s="13" t="n"/>
      <c r="V104" s="13" t="n"/>
      <c r="W104" s="13" t="n"/>
      <c r="X104" s="14" t="n"/>
      <c r="Y104" s="13" t="n"/>
      <c r="Z104" s="16" t="n"/>
      <c r="AA104" s="13" t="n"/>
      <c r="AB104" s="13" t="n"/>
      <c r="AC104" s="13" t="n"/>
      <c r="AD104" s="13" t="n"/>
      <c r="AE104" s="13" t="n"/>
    </row>
    <row r="105">
      <c r="A105" s="12" t="n"/>
      <c r="B105" s="8" t="n"/>
      <c r="C105" s="8">
        <f>IFERROR(INDEX($AG105:$GA105,MATCH("職員番号*",$AG$4:$GA$4,0))&amp;"","")</f>
        <v/>
      </c>
      <c r="D105" s="8">
        <f>IFERROR(INDEX($AG105:$GA105,MATCH("氏名*",$AG$4:$GA$4,0))&amp;"","")</f>
        <v/>
      </c>
      <c r="E105" s="13" t="n"/>
      <c r="F105" s="13" t="n"/>
      <c r="G105" s="13" t="n"/>
      <c r="H105" s="14" t="n"/>
      <c r="I105" s="14" t="n"/>
      <c r="J105" s="15">
        <f>IF(AND(H105="",I105=""),"",N(H105)+N(I105))</f>
        <v/>
      </c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4" t="n"/>
      <c r="U105" s="13" t="n"/>
      <c r="V105" s="13" t="n"/>
      <c r="W105" s="13" t="n"/>
      <c r="X105" s="14" t="n"/>
      <c r="Y105" s="13" t="n"/>
      <c r="Z105" s="16" t="n"/>
      <c r="AA105" s="13" t="n"/>
      <c r="AB105" s="13" t="n"/>
      <c r="AC105" s="13" t="n"/>
      <c r="AD105" s="13" t="n"/>
      <c r="AE105" s="13" t="n"/>
    </row>
    <row r="106">
      <c r="A106" s="12" t="n"/>
      <c r="B106" s="8" t="n"/>
      <c r="C106" s="8">
        <f>IFERROR(INDEX($AG106:$GA106,MATCH("職員番号*",$AG$4:$GA$4,0))&amp;"","")</f>
        <v/>
      </c>
      <c r="D106" s="8">
        <f>IFERROR(INDEX($AG106:$GA106,MATCH("氏名*",$AG$4:$GA$4,0))&amp;"","")</f>
        <v/>
      </c>
      <c r="E106" s="13" t="n"/>
      <c r="F106" s="13" t="n"/>
      <c r="G106" s="13" t="n"/>
      <c r="H106" s="14" t="n"/>
      <c r="I106" s="14" t="n"/>
      <c r="J106" s="15">
        <f>IF(AND(H106="",I106=""),"",N(H106)+N(I106))</f>
        <v/>
      </c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4" t="n"/>
      <c r="U106" s="13" t="n"/>
      <c r="V106" s="13" t="n"/>
      <c r="W106" s="13" t="n"/>
      <c r="X106" s="14" t="n"/>
      <c r="Y106" s="13" t="n"/>
      <c r="Z106" s="16" t="n"/>
      <c r="AA106" s="13" t="n"/>
      <c r="AB106" s="13" t="n"/>
      <c r="AC106" s="13" t="n"/>
      <c r="AD106" s="13" t="n"/>
      <c r="AE106" s="13" t="n"/>
    </row>
    <row r="107">
      <c r="A107" s="12" t="n"/>
      <c r="B107" s="8" t="n"/>
      <c r="C107" s="8">
        <f>IFERROR(INDEX($AG107:$GA107,MATCH("職員番号*",$AG$4:$GA$4,0))&amp;"","")</f>
        <v/>
      </c>
      <c r="D107" s="8">
        <f>IFERROR(INDEX($AG107:$GA107,MATCH("氏名*",$AG$4:$GA$4,0))&amp;"","")</f>
        <v/>
      </c>
      <c r="E107" s="13" t="n"/>
      <c r="F107" s="13" t="n"/>
      <c r="G107" s="13" t="n"/>
      <c r="H107" s="14" t="n"/>
      <c r="I107" s="14" t="n"/>
      <c r="J107" s="15">
        <f>IF(AND(H107="",I107=""),"",N(H107)+N(I107))</f>
        <v/>
      </c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4" t="n"/>
      <c r="U107" s="13" t="n"/>
      <c r="V107" s="13" t="n"/>
      <c r="W107" s="13" t="n"/>
      <c r="X107" s="14" t="n"/>
      <c r="Y107" s="13" t="n"/>
      <c r="Z107" s="16" t="n"/>
      <c r="AA107" s="13" t="n"/>
      <c r="AB107" s="13" t="n"/>
      <c r="AC107" s="13" t="n"/>
      <c r="AD107" s="13" t="n"/>
      <c r="AE107" s="13" t="n"/>
    </row>
    <row r="108">
      <c r="A108" s="12" t="n"/>
      <c r="B108" s="8" t="n"/>
      <c r="C108" s="8">
        <f>IFERROR(INDEX($AG108:$GA108,MATCH("職員番号*",$AG$4:$GA$4,0))&amp;"","")</f>
        <v/>
      </c>
      <c r="D108" s="8">
        <f>IFERROR(INDEX($AG108:$GA108,MATCH("氏名*",$AG$4:$GA$4,0))&amp;"","")</f>
        <v/>
      </c>
      <c r="E108" s="13" t="n"/>
      <c r="F108" s="13" t="n"/>
      <c r="G108" s="13" t="n"/>
      <c r="H108" s="14" t="n"/>
      <c r="I108" s="14" t="n"/>
      <c r="J108" s="15">
        <f>IF(AND(H108="",I108=""),"",N(H108)+N(I108))</f>
        <v/>
      </c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4" t="n"/>
      <c r="U108" s="13" t="n"/>
      <c r="V108" s="13" t="n"/>
      <c r="W108" s="13" t="n"/>
      <c r="X108" s="14" t="n"/>
      <c r="Y108" s="13" t="n"/>
      <c r="Z108" s="16" t="n"/>
      <c r="AA108" s="13" t="n"/>
      <c r="AB108" s="13" t="n"/>
      <c r="AC108" s="13" t="n"/>
      <c r="AD108" s="13" t="n"/>
      <c r="AE108" s="13" t="n"/>
    </row>
    <row r="109">
      <c r="A109" s="12" t="n"/>
      <c r="B109" s="8" t="n"/>
      <c r="C109" s="8">
        <f>IFERROR(INDEX($AG109:$GA109,MATCH("職員番号*",$AG$4:$GA$4,0))&amp;"","")</f>
        <v/>
      </c>
      <c r="D109" s="8">
        <f>IFERROR(INDEX($AG109:$GA109,MATCH("氏名*",$AG$4:$GA$4,0))&amp;"","")</f>
        <v/>
      </c>
      <c r="E109" s="13" t="n"/>
      <c r="F109" s="13" t="n"/>
      <c r="G109" s="13" t="n"/>
      <c r="H109" s="14" t="n"/>
      <c r="I109" s="14" t="n"/>
      <c r="J109" s="15">
        <f>IF(AND(H109="",I109=""),"",N(H109)+N(I109))</f>
        <v/>
      </c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4" t="n"/>
      <c r="U109" s="13" t="n"/>
      <c r="V109" s="13" t="n"/>
      <c r="W109" s="13" t="n"/>
      <c r="X109" s="14" t="n"/>
      <c r="Y109" s="13" t="n"/>
      <c r="Z109" s="16" t="n"/>
      <c r="AA109" s="13" t="n"/>
      <c r="AB109" s="13" t="n"/>
      <c r="AC109" s="13" t="n"/>
      <c r="AD109" s="13" t="n"/>
      <c r="AE109" s="13" t="n"/>
    </row>
    <row r="110">
      <c r="A110" s="12" t="n"/>
      <c r="B110" s="8" t="n"/>
      <c r="C110" s="8">
        <f>IFERROR(INDEX($AG110:$GA110,MATCH("職員番号*",$AG$4:$GA$4,0))&amp;"","")</f>
        <v/>
      </c>
      <c r="D110" s="8">
        <f>IFERROR(INDEX($AG110:$GA110,MATCH("氏名*",$AG$4:$GA$4,0))&amp;"","")</f>
        <v/>
      </c>
      <c r="E110" s="13" t="n"/>
      <c r="F110" s="13" t="n"/>
      <c r="G110" s="13" t="n"/>
      <c r="H110" s="14" t="n"/>
      <c r="I110" s="14" t="n"/>
      <c r="J110" s="15">
        <f>IF(AND(H110="",I110=""),"",N(H110)+N(I110))</f>
        <v/>
      </c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4" t="n"/>
      <c r="U110" s="13" t="n"/>
      <c r="V110" s="13" t="n"/>
      <c r="W110" s="13" t="n"/>
      <c r="X110" s="14" t="n"/>
      <c r="Y110" s="13" t="n"/>
      <c r="Z110" s="16" t="n"/>
      <c r="AA110" s="13" t="n"/>
      <c r="AB110" s="13" t="n"/>
      <c r="AC110" s="13" t="n"/>
      <c r="AD110" s="13" t="n"/>
      <c r="AE110" s="13" t="n"/>
    </row>
    <row r="111">
      <c r="A111" s="12" t="n"/>
      <c r="B111" s="8" t="n"/>
      <c r="C111" s="8">
        <f>IFERROR(INDEX($AG111:$GA111,MATCH("職員番号*",$AG$4:$GA$4,0))&amp;"","")</f>
        <v/>
      </c>
      <c r="D111" s="8">
        <f>IFERROR(INDEX($AG111:$GA111,MATCH("氏名*",$AG$4:$GA$4,0))&amp;"","")</f>
        <v/>
      </c>
      <c r="E111" s="13" t="n"/>
      <c r="F111" s="13" t="n"/>
      <c r="G111" s="13" t="n"/>
      <c r="H111" s="14" t="n"/>
      <c r="I111" s="14" t="n"/>
      <c r="J111" s="15">
        <f>IF(AND(H111="",I111=""),"",N(H111)+N(I111))</f>
        <v/>
      </c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4" t="n"/>
      <c r="U111" s="13" t="n"/>
      <c r="V111" s="13" t="n"/>
      <c r="W111" s="13" t="n"/>
      <c r="X111" s="14" t="n"/>
      <c r="Y111" s="13" t="n"/>
      <c r="Z111" s="16" t="n"/>
      <c r="AA111" s="13" t="n"/>
      <c r="AB111" s="13" t="n"/>
      <c r="AC111" s="13" t="n"/>
      <c r="AD111" s="13" t="n"/>
      <c r="AE111" s="13" t="n"/>
    </row>
    <row r="112">
      <c r="A112" s="12" t="n"/>
      <c r="B112" s="8" t="n"/>
      <c r="C112" s="8">
        <f>IFERROR(INDEX($AG112:$GA112,MATCH("職員番号*",$AG$4:$GA$4,0))&amp;"","")</f>
        <v/>
      </c>
      <c r="D112" s="8">
        <f>IFERROR(INDEX($AG112:$GA112,MATCH("氏名*",$AG$4:$GA$4,0))&amp;"","")</f>
        <v/>
      </c>
      <c r="E112" s="13" t="n"/>
      <c r="F112" s="13" t="n"/>
      <c r="G112" s="13" t="n"/>
      <c r="H112" s="14" t="n"/>
      <c r="I112" s="14" t="n"/>
      <c r="J112" s="15">
        <f>IF(AND(H112="",I112=""),"",N(H112)+N(I112))</f>
        <v/>
      </c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4" t="n"/>
      <c r="U112" s="13" t="n"/>
      <c r="V112" s="13" t="n"/>
      <c r="W112" s="13" t="n"/>
      <c r="X112" s="14" t="n"/>
      <c r="Y112" s="13" t="n"/>
      <c r="Z112" s="16" t="n"/>
      <c r="AA112" s="13" t="n"/>
      <c r="AB112" s="13" t="n"/>
      <c r="AC112" s="13" t="n"/>
      <c r="AD112" s="13" t="n"/>
      <c r="AE112" s="13" t="n"/>
    </row>
    <row r="113">
      <c r="A113" s="12" t="n"/>
      <c r="B113" s="8" t="n"/>
      <c r="C113" s="8">
        <f>IFERROR(INDEX($AG113:$GA113,MATCH("職員番号*",$AG$4:$GA$4,0))&amp;"","")</f>
        <v/>
      </c>
      <c r="D113" s="8">
        <f>IFERROR(INDEX($AG113:$GA113,MATCH("氏名*",$AG$4:$GA$4,0))&amp;"","")</f>
        <v/>
      </c>
      <c r="E113" s="13" t="n"/>
      <c r="F113" s="13" t="n"/>
      <c r="G113" s="13" t="n"/>
      <c r="H113" s="14" t="n"/>
      <c r="I113" s="14" t="n"/>
      <c r="J113" s="15">
        <f>IF(AND(H113="",I113=""),"",N(H113)+N(I113))</f>
        <v/>
      </c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4" t="n"/>
      <c r="U113" s="13" t="n"/>
      <c r="V113" s="13" t="n"/>
      <c r="W113" s="13" t="n"/>
      <c r="X113" s="14" t="n"/>
      <c r="Y113" s="13" t="n"/>
      <c r="Z113" s="16" t="n"/>
      <c r="AA113" s="13" t="n"/>
      <c r="AB113" s="13" t="n"/>
      <c r="AC113" s="13" t="n"/>
      <c r="AD113" s="13" t="n"/>
      <c r="AE113" s="13" t="n"/>
    </row>
    <row r="114">
      <c r="A114" s="12" t="n"/>
      <c r="B114" s="8" t="n"/>
      <c r="C114" s="8">
        <f>IFERROR(INDEX($AG114:$GA114,MATCH("職員番号*",$AG$4:$GA$4,0))&amp;"","")</f>
        <v/>
      </c>
      <c r="D114" s="8">
        <f>IFERROR(INDEX($AG114:$GA114,MATCH("氏名*",$AG$4:$GA$4,0))&amp;"","")</f>
        <v/>
      </c>
      <c r="E114" s="13" t="n"/>
      <c r="F114" s="13" t="n"/>
      <c r="G114" s="13" t="n"/>
      <c r="H114" s="14" t="n"/>
      <c r="I114" s="14" t="n"/>
      <c r="J114" s="15">
        <f>IF(AND(H114="",I114=""),"",N(H114)+N(I114))</f>
        <v/>
      </c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4" t="n"/>
      <c r="U114" s="13" t="n"/>
      <c r="V114" s="13" t="n"/>
      <c r="W114" s="13" t="n"/>
      <c r="X114" s="14" t="n"/>
      <c r="Y114" s="13" t="n"/>
      <c r="Z114" s="16" t="n"/>
      <c r="AA114" s="13" t="n"/>
      <c r="AB114" s="13" t="n"/>
      <c r="AC114" s="13" t="n"/>
      <c r="AD114" s="13" t="n"/>
      <c r="AE114" s="13" t="n"/>
    </row>
    <row r="115">
      <c r="A115" s="12" t="n"/>
      <c r="B115" s="8" t="n"/>
      <c r="C115" s="8">
        <f>IFERROR(INDEX($AG115:$GA115,MATCH("職員番号*",$AG$4:$GA$4,0))&amp;"","")</f>
        <v/>
      </c>
      <c r="D115" s="8">
        <f>IFERROR(INDEX($AG115:$GA115,MATCH("氏名*",$AG$4:$GA$4,0))&amp;"","")</f>
        <v/>
      </c>
      <c r="E115" s="13" t="n"/>
      <c r="F115" s="13" t="n"/>
      <c r="G115" s="13" t="n"/>
      <c r="H115" s="14" t="n"/>
      <c r="I115" s="14" t="n"/>
      <c r="J115" s="15">
        <f>IF(AND(H115="",I115=""),"",N(H115)+N(I115))</f>
        <v/>
      </c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4" t="n"/>
      <c r="U115" s="13" t="n"/>
      <c r="V115" s="13" t="n"/>
      <c r="W115" s="13" t="n"/>
      <c r="X115" s="14" t="n"/>
      <c r="Y115" s="13" t="n"/>
      <c r="Z115" s="16" t="n"/>
      <c r="AA115" s="13" t="n"/>
      <c r="AB115" s="13" t="n"/>
      <c r="AC115" s="13" t="n"/>
      <c r="AD115" s="13" t="n"/>
      <c r="AE115" s="13" t="n"/>
    </row>
    <row r="116">
      <c r="A116" s="12" t="n"/>
      <c r="B116" s="8" t="n"/>
      <c r="C116" s="8">
        <f>IFERROR(INDEX($AG116:$GA116,MATCH("職員番号*",$AG$4:$GA$4,0))&amp;"","")</f>
        <v/>
      </c>
      <c r="D116" s="8">
        <f>IFERROR(INDEX($AG116:$GA116,MATCH("氏名*",$AG$4:$GA$4,0))&amp;"","")</f>
        <v/>
      </c>
      <c r="E116" s="13" t="n"/>
      <c r="F116" s="13" t="n"/>
      <c r="G116" s="13" t="n"/>
      <c r="H116" s="14" t="n"/>
      <c r="I116" s="14" t="n"/>
      <c r="J116" s="15">
        <f>IF(AND(H116="",I116=""),"",N(H116)+N(I116))</f>
        <v/>
      </c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4" t="n"/>
      <c r="U116" s="13" t="n"/>
      <c r="V116" s="13" t="n"/>
      <c r="W116" s="13" t="n"/>
      <c r="X116" s="14" t="n"/>
      <c r="Y116" s="13" t="n"/>
      <c r="Z116" s="16" t="n"/>
      <c r="AA116" s="13" t="n"/>
      <c r="AB116" s="13" t="n"/>
      <c r="AC116" s="13" t="n"/>
      <c r="AD116" s="13" t="n"/>
      <c r="AE116" s="13" t="n"/>
    </row>
    <row r="117">
      <c r="A117" s="12" t="n"/>
      <c r="B117" s="8" t="n"/>
      <c r="C117" s="8">
        <f>IFERROR(INDEX($AG117:$GA117,MATCH("職員番号*",$AG$4:$GA$4,0))&amp;"","")</f>
        <v/>
      </c>
      <c r="D117" s="8">
        <f>IFERROR(INDEX($AG117:$GA117,MATCH("氏名*",$AG$4:$GA$4,0))&amp;"","")</f>
        <v/>
      </c>
      <c r="E117" s="13" t="n"/>
      <c r="F117" s="13" t="n"/>
      <c r="G117" s="13" t="n"/>
      <c r="H117" s="14" t="n"/>
      <c r="I117" s="14" t="n"/>
      <c r="J117" s="15">
        <f>IF(AND(H117="",I117=""),"",N(H117)+N(I117))</f>
        <v/>
      </c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4" t="n"/>
      <c r="U117" s="13" t="n"/>
      <c r="V117" s="13" t="n"/>
      <c r="W117" s="13" t="n"/>
      <c r="X117" s="14" t="n"/>
      <c r="Y117" s="13" t="n"/>
      <c r="Z117" s="16" t="n"/>
      <c r="AA117" s="13" t="n"/>
      <c r="AB117" s="13" t="n"/>
      <c r="AC117" s="13" t="n"/>
      <c r="AD117" s="13" t="n"/>
      <c r="AE117" s="13" t="n"/>
    </row>
    <row r="118">
      <c r="A118" s="12" t="n"/>
      <c r="B118" s="8" t="n"/>
      <c r="C118" s="8">
        <f>IFERROR(INDEX($AG118:$GA118,MATCH("職員番号*",$AG$4:$GA$4,0))&amp;"","")</f>
        <v/>
      </c>
      <c r="D118" s="8">
        <f>IFERROR(INDEX($AG118:$GA118,MATCH("氏名*",$AG$4:$GA$4,0))&amp;"","")</f>
        <v/>
      </c>
      <c r="E118" s="13" t="n"/>
      <c r="F118" s="13" t="n"/>
      <c r="G118" s="13" t="n"/>
      <c r="H118" s="14" t="n"/>
      <c r="I118" s="14" t="n"/>
      <c r="J118" s="15">
        <f>IF(AND(H118="",I118=""),"",N(H118)+N(I118))</f>
        <v/>
      </c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4" t="n"/>
      <c r="U118" s="13" t="n"/>
      <c r="V118" s="13" t="n"/>
      <c r="W118" s="13" t="n"/>
      <c r="X118" s="14" t="n"/>
      <c r="Y118" s="13" t="n"/>
      <c r="Z118" s="16" t="n"/>
      <c r="AA118" s="13" t="n"/>
      <c r="AB118" s="13" t="n"/>
      <c r="AC118" s="13" t="n"/>
      <c r="AD118" s="13" t="n"/>
      <c r="AE118" s="13" t="n"/>
    </row>
    <row r="119">
      <c r="A119" s="12" t="n"/>
      <c r="B119" s="8" t="n"/>
      <c r="C119" s="8">
        <f>IFERROR(INDEX($AG119:$GA119,MATCH("職員番号*",$AG$4:$GA$4,0))&amp;"","")</f>
        <v/>
      </c>
      <c r="D119" s="8">
        <f>IFERROR(INDEX($AG119:$GA119,MATCH("氏名*",$AG$4:$GA$4,0))&amp;"","")</f>
        <v/>
      </c>
      <c r="E119" s="13" t="n"/>
      <c r="F119" s="13" t="n"/>
      <c r="G119" s="13" t="n"/>
      <c r="H119" s="14" t="n"/>
      <c r="I119" s="14" t="n"/>
      <c r="J119" s="15">
        <f>IF(AND(H119="",I119=""),"",N(H119)+N(I119))</f>
        <v/>
      </c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4" t="n"/>
      <c r="U119" s="13" t="n"/>
      <c r="V119" s="13" t="n"/>
      <c r="W119" s="13" t="n"/>
      <c r="X119" s="14" t="n"/>
      <c r="Y119" s="13" t="n"/>
      <c r="Z119" s="16" t="n"/>
      <c r="AA119" s="13" t="n"/>
      <c r="AB119" s="13" t="n"/>
      <c r="AC119" s="13" t="n"/>
      <c r="AD119" s="13" t="n"/>
      <c r="AE119" s="13" t="n"/>
    </row>
    <row r="120">
      <c r="A120" s="12" t="n"/>
      <c r="B120" s="8" t="n"/>
      <c r="C120" s="8">
        <f>IFERROR(INDEX($AG120:$GA120,MATCH("職員番号*",$AG$4:$GA$4,0))&amp;"","")</f>
        <v/>
      </c>
      <c r="D120" s="8">
        <f>IFERROR(INDEX($AG120:$GA120,MATCH("氏名*",$AG$4:$GA$4,0))&amp;"","")</f>
        <v/>
      </c>
      <c r="E120" s="13" t="n"/>
      <c r="F120" s="13" t="n"/>
      <c r="G120" s="13" t="n"/>
      <c r="H120" s="14" t="n"/>
      <c r="I120" s="14" t="n"/>
      <c r="J120" s="15">
        <f>IF(AND(H120="",I120=""),"",N(H120)+N(I120))</f>
        <v/>
      </c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4" t="n"/>
      <c r="U120" s="13" t="n"/>
      <c r="V120" s="13" t="n"/>
      <c r="W120" s="13" t="n"/>
      <c r="X120" s="14" t="n"/>
      <c r="Y120" s="13" t="n"/>
      <c r="Z120" s="16" t="n"/>
      <c r="AA120" s="13" t="n"/>
      <c r="AB120" s="13" t="n"/>
      <c r="AC120" s="13" t="n"/>
      <c r="AD120" s="13" t="n"/>
      <c r="AE120" s="13" t="n"/>
    </row>
    <row r="121">
      <c r="A121" s="12" t="n"/>
      <c r="B121" s="8" t="n"/>
      <c r="C121" s="8">
        <f>IFERROR(INDEX($AG121:$GA121,MATCH("職員番号*",$AG$4:$GA$4,0))&amp;"","")</f>
        <v/>
      </c>
      <c r="D121" s="8">
        <f>IFERROR(INDEX($AG121:$GA121,MATCH("氏名*",$AG$4:$GA$4,0))&amp;"","")</f>
        <v/>
      </c>
      <c r="E121" s="13" t="n"/>
      <c r="F121" s="13" t="n"/>
      <c r="G121" s="13" t="n"/>
      <c r="H121" s="14" t="n"/>
      <c r="I121" s="14" t="n"/>
      <c r="J121" s="15">
        <f>IF(AND(H121="",I121=""),"",N(H121)+N(I121))</f>
        <v/>
      </c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4" t="n"/>
      <c r="U121" s="13" t="n"/>
      <c r="V121" s="13" t="n"/>
      <c r="W121" s="13" t="n"/>
      <c r="X121" s="14" t="n"/>
      <c r="Y121" s="13" t="n"/>
      <c r="Z121" s="16" t="n"/>
      <c r="AA121" s="13" t="n"/>
      <c r="AB121" s="13" t="n"/>
      <c r="AC121" s="13" t="n"/>
      <c r="AD121" s="13" t="n"/>
      <c r="AE121" s="13" t="n"/>
    </row>
    <row r="122">
      <c r="A122" s="12" t="n"/>
      <c r="B122" s="8" t="n"/>
      <c r="C122" s="8">
        <f>IFERROR(INDEX($AG122:$GA122,MATCH("職員番号*",$AG$4:$GA$4,0))&amp;"","")</f>
        <v/>
      </c>
      <c r="D122" s="8">
        <f>IFERROR(INDEX($AG122:$GA122,MATCH("氏名*",$AG$4:$GA$4,0))&amp;"","")</f>
        <v/>
      </c>
      <c r="E122" s="13" t="n"/>
      <c r="F122" s="13" t="n"/>
      <c r="G122" s="13" t="n"/>
      <c r="H122" s="14" t="n"/>
      <c r="I122" s="14" t="n"/>
      <c r="J122" s="15">
        <f>IF(AND(H122="",I122=""),"",N(H122)+N(I122))</f>
        <v/>
      </c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4" t="n"/>
      <c r="U122" s="13" t="n"/>
      <c r="V122" s="13" t="n"/>
      <c r="W122" s="13" t="n"/>
      <c r="X122" s="14" t="n"/>
      <c r="Y122" s="13" t="n"/>
      <c r="Z122" s="16" t="n"/>
      <c r="AA122" s="13" t="n"/>
      <c r="AB122" s="13" t="n"/>
      <c r="AC122" s="13" t="n"/>
      <c r="AD122" s="13" t="n"/>
      <c r="AE122" s="13" t="n"/>
    </row>
    <row r="123">
      <c r="A123" s="12" t="n"/>
      <c r="B123" s="8" t="n"/>
      <c r="C123" s="8">
        <f>IFERROR(INDEX($AG123:$GA123,MATCH("職員番号*",$AG$4:$GA$4,0))&amp;"","")</f>
        <v/>
      </c>
      <c r="D123" s="8">
        <f>IFERROR(INDEX($AG123:$GA123,MATCH("氏名*",$AG$4:$GA$4,0))&amp;"","")</f>
        <v/>
      </c>
      <c r="E123" s="13" t="n"/>
      <c r="F123" s="13" t="n"/>
      <c r="G123" s="13" t="n"/>
      <c r="H123" s="14" t="n"/>
      <c r="I123" s="14" t="n"/>
      <c r="J123" s="15">
        <f>IF(AND(H123="",I123=""),"",N(H123)+N(I123))</f>
        <v/>
      </c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4" t="n"/>
      <c r="U123" s="13" t="n"/>
      <c r="V123" s="13" t="n"/>
      <c r="W123" s="13" t="n"/>
      <c r="X123" s="14" t="n"/>
      <c r="Y123" s="13" t="n"/>
      <c r="Z123" s="16" t="n"/>
      <c r="AA123" s="13" t="n"/>
      <c r="AB123" s="13" t="n"/>
      <c r="AC123" s="13" t="n"/>
      <c r="AD123" s="13" t="n"/>
      <c r="AE123" s="13" t="n"/>
    </row>
    <row r="124">
      <c r="A124" s="12" t="n"/>
      <c r="B124" s="8" t="n"/>
      <c r="C124" s="8">
        <f>IFERROR(INDEX($AG124:$GA124,MATCH("職員番号*",$AG$4:$GA$4,0))&amp;"","")</f>
        <v/>
      </c>
      <c r="D124" s="8">
        <f>IFERROR(INDEX($AG124:$GA124,MATCH("氏名*",$AG$4:$GA$4,0))&amp;"","")</f>
        <v/>
      </c>
      <c r="E124" s="13" t="n"/>
      <c r="F124" s="13" t="n"/>
      <c r="G124" s="13" t="n"/>
      <c r="H124" s="14" t="n"/>
      <c r="I124" s="14" t="n"/>
      <c r="J124" s="15">
        <f>IF(AND(H124="",I124=""),"",N(H124)+N(I124))</f>
        <v/>
      </c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4" t="n"/>
      <c r="U124" s="13" t="n"/>
      <c r="V124" s="13" t="n"/>
      <c r="W124" s="13" t="n"/>
      <c r="X124" s="14" t="n"/>
      <c r="Y124" s="13" t="n"/>
      <c r="Z124" s="16" t="n"/>
      <c r="AA124" s="13" t="n"/>
      <c r="AB124" s="13" t="n"/>
      <c r="AC124" s="13" t="n"/>
      <c r="AD124" s="13" t="n"/>
      <c r="AE124" s="13" t="n"/>
    </row>
    <row r="125">
      <c r="A125" s="12" t="n"/>
      <c r="B125" s="8" t="n"/>
      <c r="C125" s="8">
        <f>IFERROR(INDEX($AG125:$GA125,MATCH("職員番号*",$AG$4:$GA$4,0))&amp;"","")</f>
        <v/>
      </c>
      <c r="D125" s="8">
        <f>IFERROR(INDEX($AG125:$GA125,MATCH("氏名*",$AG$4:$GA$4,0))&amp;"","")</f>
        <v/>
      </c>
      <c r="E125" s="13" t="n"/>
      <c r="F125" s="13" t="n"/>
      <c r="G125" s="13" t="n"/>
      <c r="H125" s="14" t="n"/>
      <c r="I125" s="14" t="n"/>
      <c r="J125" s="15">
        <f>IF(AND(H125="",I125=""),"",N(H125)+N(I125))</f>
        <v/>
      </c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4" t="n"/>
      <c r="U125" s="13" t="n"/>
      <c r="V125" s="13" t="n"/>
      <c r="W125" s="13" t="n"/>
      <c r="X125" s="14" t="n"/>
      <c r="Y125" s="13" t="n"/>
      <c r="Z125" s="16" t="n"/>
      <c r="AA125" s="13" t="n"/>
      <c r="AB125" s="13" t="n"/>
      <c r="AC125" s="13" t="n"/>
      <c r="AD125" s="13" t="n"/>
      <c r="AE125" s="13" t="n"/>
    </row>
    <row r="126">
      <c r="A126" s="12" t="n"/>
      <c r="B126" s="8" t="n"/>
      <c r="C126" s="8">
        <f>IFERROR(INDEX($AG126:$GA126,MATCH("職員番号*",$AG$4:$GA$4,0))&amp;"","")</f>
        <v/>
      </c>
      <c r="D126" s="8">
        <f>IFERROR(INDEX($AG126:$GA126,MATCH("氏名*",$AG$4:$GA$4,0))&amp;"","")</f>
        <v/>
      </c>
      <c r="E126" s="13" t="n"/>
      <c r="F126" s="13" t="n"/>
      <c r="G126" s="13" t="n"/>
      <c r="H126" s="14" t="n"/>
      <c r="I126" s="14" t="n"/>
      <c r="J126" s="15">
        <f>IF(AND(H126="",I126=""),"",N(H126)+N(I126))</f>
        <v/>
      </c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4" t="n"/>
      <c r="U126" s="13" t="n"/>
      <c r="V126" s="13" t="n"/>
      <c r="W126" s="13" t="n"/>
      <c r="X126" s="14" t="n"/>
      <c r="Y126" s="13" t="n"/>
      <c r="Z126" s="16" t="n"/>
      <c r="AA126" s="13" t="n"/>
      <c r="AB126" s="13" t="n"/>
      <c r="AC126" s="13" t="n"/>
      <c r="AD126" s="13" t="n"/>
      <c r="AE126" s="13" t="n"/>
    </row>
    <row r="127">
      <c r="A127" s="12" t="n"/>
      <c r="B127" s="8" t="n"/>
      <c r="C127" s="8">
        <f>IFERROR(INDEX($AG127:$GA127,MATCH("職員番号*",$AG$4:$GA$4,0))&amp;"","")</f>
        <v/>
      </c>
      <c r="D127" s="8">
        <f>IFERROR(INDEX($AG127:$GA127,MATCH("氏名*",$AG$4:$GA$4,0))&amp;"","")</f>
        <v/>
      </c>
      <c r="E127" s="13" t="n"/>
      <c r="F127" s="13" t="n"/>
      <c r="G127" s="13" t="n"/>
      <c r="H127" s="14" t="n"/>
      <c r="I127" s="14" t="n"/>
      <c r="J127" s="15">
        <f>IF(AND(H127="",I127=""),"",N(H127)+N(I127))</f>
        <v/>
      </c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4" t="n"/>
      <c r="U127" s="13" t="n"/>
      <c r="V127" s="13" t="n"/>
      <c r="W127" s="13" t="n"/>
      <c r="X127" s="14" t="n"/>
      <c r="Y127" s="13" t="n"/>
      <c r="Z127" s="16" t="n"/>
      <c r="AA127" s="13" t="n"/>
      <c r="AB127" s="13" t="n"/>
      <c r="AC127" s="13" t="n"/>
      <c r="AD127" s="13" t="n"/>
      <c r="AE127" s="13" t="n"/>
    </row>
    <row r="128">
      <c r="A128" s="12" t="n"/>
      <c r="B128" s="8" t="n"/>
      <c r="C128" s="8">
        <f>IFERROR(INDEX($AG128:$GA128,MATCH("職員番号*",$AG$4:$GA$4,0))&amp;"","")</f>
        <v/>
      </c>
      <c r="D128" s="8">
        <f>IFERROR(INDEX($AG128:$GA128,MATCH("氏名*",$AG$4:$GA$4,0))&amp;"","")</f>
        <v/>
      </c>
      <c r="E128" s="13" t="n"/>
      <c r="F128" s="13" t="n"/>
      <c r="G128" s="13" t="n"/>
      <c r="H128" s="14" t="n"/>
      <c r="I128" s="14" t="n"/>
      <c r="J128" s="15">
        <f>IF(AND(H128="",I128=""),"",N(H128)+N(I128))</f>
        <v/>
      </c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4" t="n"/>
      <c r="U128" s="13" t="n"/>
      <c r="V128" s="13" t="n"/>
      <c r="W128" s="13" t="n"/>
      <c r="X128" s="14" t="n"/>
      <c r="Y128" s="13" t="n"/>
      <c r="Z128" s="16" t="n"/>
      <c r="AA128" s="13" t="n"/>
      <c r="AB128" s="13" t="n"/>
      <c r="AC128" s="13" t="n"/>
      <c r="AD128" s="13" t="n"/>
      <c r="AE128" s="13" t="n"/>
    </row>
    <row r="129">
      <c r="A129" s="12" t="n"/>
      <c r="B129" s="8" t="n"/>
      <c r="C129" s="8">
        <f>IFERROR(INDEX($AG129:$GA129,MATCH("職員番号*",$AG$4:$GA$4,0))&amp;"","")</f>
        <v/>
      </c>
      <c r="D129" s="8">
        <f>IFERROR(INDEX($AG129:$GA129,MATCH("氏名*",$AG$4:$GA$4,0))&amp;"","")</f>
        <v/>
      </c>
      <c r="E129" s="13" t="n"/>
      <c r="F129" s="13" t="n"/>
      <c r="G129" s="13" t="n"/>
      <c r="H129" s="14" t="n"/>
      <c r="I129" s="14" t="n"/>
      <c r="J129" s="15">
        <f>IF(AND(H129="",I129=""),"",N(H129)+N(I129))</f>
        <v/>
      </c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4" t="n"/>
      <c r="U129" s="13" t="n"/>
      <c r="V129" s="13" t="n"/>
      <c r="W129" s="13" t="n"/>
      <c r="X129" s="14" t="n"/>
      <c r="Y129" s="13" t="n"/>
      <c r="Z129" s="16" t="n"/>
      <c r="AA129" s="13" t="n"/>
      <c r="AB129" s="13" t="n"/>
      <c r="AC129" s="13" t="n"/>
      <c r="AD129" s="13" t="n"/>
      <c r="AE129" s="13" t="n"/>
    </row>
    <row r="130">
      <c r="A130" s="12" t="n"/>
      <c r="B130" s="8" t="n"/>
      <c r="C130" s="8">
        <f>IFERROR(INDEX($AG130:$GA130,MATCH("職員番号*",$AG$4:$GA$4,0))&amp;"","")</f>
        <v/>
      </c>
      <c r="D130" s="8">
        <f>IFERROR(INDEX($AG130:$GA130,MATCH("氏名*",$AG$4:$GA$4,0))&amp;"","")</f>
        <v/>
      </c>
      <c r="E130" s="13" t="n"/>
      <c r="F130" s="13" t="n"/>
      <c r="G130" s="13" t="n"/>
      <c r="H130" s="14" t="n"/>
      <c r="I130" s="14" t="n"/>
      <c r="J130" s="15">
        <f>IF(AND(H130="",I130=""),"",N(H130)+N(I130))</f>
        <v/>
      </c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4" t="n"/>
      <c r="U130" s="13" t="n"/>
      <c r="V130" s="13" t="n"/>
      <c r="W130" s="13" t="n"/>
      <c r="X130" s="14" t="n"/>
      <c r="Y130" s="13" t="n"/>
      <c r="Z130" s="16" t="n"/>
      <c r="AA130" s="13" t="n"/>
      <c r="AB130" s="13" t="n"/>
      <c r="AC130" s="13" t="n"/>
      <c r="AD130" s="13" t="n"/>
      <c r="AE130" s="13" t="n"/>
    </row>
    <row r="131">
      <c r="A131" s="12" t="n"/>
      <c r="B131" s="8" t="n"/>
      <c r="C131" s="8">
        <f>IFERROR(INDEX($AG131:$GA131,MATCH("職員番号*",$AG$4:$GA$4,0))&amp;"","")</f>
        <v/>
      </c>
      <c r="D131" s="8">
        <f>IFERROR(INDEX($AG131:$GA131,MATCH("氏名*",$AG$4:$GA$4,0))&amp;"","")</f>
        <v/>
      </c>
      <c r="E131" s="13" t="n"/>
      <c r="F131" s="13" t="n"/>
      <c r="G131" s="13" t="n"/>
      <c r="H131" s="14" t="n"/>
      <c r="I131" s="14" t="n"/>
      <c r="J131" s="15">
        <f>IF(AND(H131="",I131=""),"",N(H131)+N(I131))</f>
        <v/>
      </c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4" t="n"/>
      <c r="U131" s="13" t="n"/>
      <c r="V131" s="13" t="n"/>
      <c r="W131" s="13" t="n"/>
      <c r="X131" s="14" t="n"/>
      <c r="Y131" s="13" t="n"/>
      <c r="Z131" s="16" t="n"/>
      <c r="AA131" s="13" t="n"/>
      <c r="AB131" s="13" t="n"/>
      <c r="AC131" s="13" t="n"/>
      <c r="AD131" s="13" t="n"/>
      <c r="AE131" s="13" t="n"/>
    </row>
    <row r="132">
      <c r="A132" s="12" t="n"/>
      <c r="B132" s="8" t="n"/>
      <c r="C132" s="8">
        <f>IFERROR(INDEX($AG132:$GA132,MATCH("職員番号*",$AG$4:$GA$4,0))&amp;"","")</f>
        <v/>
      </c>
      <c r="D132" s="8">
        <f>IFERROR(INDEX($AG132:$GA132,MATCH("氏名*",$AG$4:$GA$4,0))&amp;"","")</f>
        <v/>
      </c>
      <c r="E132" s="13" t="n"/>
      <c r="F132" s="13" t="n"/>
      <c r="G132" s="13" t="n"/>
      <c r="H132" s="14" t="n"/>
      <c r="I132" s="14" t="n"/>
      <c r="J132" s="15">
        <f>IF(AND(H132="",I132=""),"",N(H132)+N(I132))</f>
        <v/>
      </c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4" t="n"/>
      <c r="U132" s="13" t="n"/>
      <c r="V132" s="13" t="n"/>
      <c r="W132" s="13" t="n"/>
      <c r="X132" s="14" t="n"/>
      <c r="Y132" s="13" t="n"/>
      <c r="Z132" s="16" t="n"/>
      <c r="AA132" s="13" t="n"/>
      <c r="AB132" s="13" t="n"/>
      <c r="AC132" s="13" t="n"/>
      <c r="AD132" s="13" t="n"/>
      <c r="AE132" s="13" t="n"/>
    </row>
    <row r="133">
      <c r="A133" s="12" t="n"/>
      <c r="B133" s="8" t="n"/>
      <c r="C133" s="8">
        <f>IFERROR(INDEX($AG133:$GA133,MATCH("職員番号*",$AG$4:$GA$4,0))&amp;"","")</f>
        <v/>
      </c>
      <c r="D133" s="8">
        <f>IFERROR(INDEX($AG133:$GA133,MATCH("氏名*",$AG$4:$GA$4,0))&amp;"","")</f>
        <v/>
      </c>
      <c r="E133" s="13" t="n"/>
      <c r="F133" s="13" t="n"/>
      <c r="G133" s="13" t="n"/>
      <c r="H133" s="14" t="n"/>
      <c r="I133" s="14" t="n"/>
      <c r="J133" s="15">
        <f>IF(AND(H133="",I133=""),"",N(H133)+N(I133))</f>
        <v/>
      </c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4" t="n"/>
      <c r="U133" s="13" t="n"/>
      <c r="V133" s="13" t="n"/>
      <c r="W133" s="13" t="n"/>
      <c r="X133" s="14" t="n"/>
      <c r="Y133" s="13" t="n"/>
      <c r="Z133" s="16" t="n"/>
      <c r="AA133" s="13" t="n"/>
      <c r="AB133" s="13" t="n"/>
      <c r="AC133" s="13" t="n"/>
      <c r="AD133" s="13" t="n"/>
      <c r="AE133" s="13" t="n"/>
    </row>
    <row r="134">
      <c r="A134" s="12" t="n"/>
      <c r="B134" s="8" t="n"/>
      <c r="C134" s="8">
        <f>IFERROR(INDEX($AG134:$GA134,MATCH("職員番号*",$AG$4:$GA$4,0))&amp;"","")</f>
        <v/>
      </c>
      <c r="D134" s="8">
        <f>IFERROR(INDEX($AG134:$GA134,MATCH("氏名*",$AG$4:$GA$4,0))&amp;"","")</f>
        <v/>
      </c>
      <c r="E134" s="13" t="n"/>
      <c r="F134" s="13" t="n"/>
      <c r="G134" s="13" t="n"/>
      <c r="H134" s="14" t="n"/>
      <c r="I134" s="14" t="n"/>
      <c r="J134" s="15">
        <f>IF(AND(H134="",I134=""),"",N(H134)+N(I134))</f>
        <v/>
      </c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4" t="n"/>
      <c r="U134" s="13" t="n"/>
      <c r="V134" s="13" t="n"/>
      <c r="W134" s="13" t="n"/>
      <c r="X134" s="14" t="n"/>
      <c r="Y134" s="13" t="n"/>
      <c r="Z134" s="16" t="n"/>
      <c r="AA134" s="13" t="n"/>
      <c r="AB134" s="13" t="n"/>
      <c r="AC134" s="13" t="n"/>
      <c r="AD134" s="13" t="n"/>
      <c r="AE134" s="13" t="n"/>
    </row>
    <row r="135">
      <c r="A135" s="12" t="n"/>
      <c r="B135" s="8" t="n"/>
      <c r="C135" s="8">
        <f>IFERROR(INDEX($AG135:$GA135,MATCH("職員番号*",$AG$4:$GA$4,0))&amp;"","")</f>
        <v/>
      </c>
      <c r="D135" s="8">
        <f>IFERROR(INDEX($AG135:$GA135,MATCH("氏名*",$AG$4:$GA$4,0))&amp;"","")</f>
        <v/>
      </c>
      <c r="E135" s="13" t="n"/>
      <c r="F135" s="13" t="n"/>
      <c r="G135" s="13" t="n"/>
      <c r="H135" s="14" t="n"/>
      <c r="I135" s="14" t="n"/>
      <c r="J135" s="15">
        <f>IF(AND(H135="",I135=""),"",N(H135)+N(I135))</f>
        <v/>
      </c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4" t="n"/>
      <c r="U135" s="13" t="n"/>
      <c r="V135" s="13" t="n"/>
      <c r="W135" s="13" t="n"/>
      <c r="X135" s="14" t="n"/>
      <c r="Y135" s="13" t="n"/>
      <c r="Z135" s="16" t="n"/>
      <c r="AA135" s="13" t="n"/>
      <c r="AB135" s="13" t="n"/>
      <c r="AC135" s="13" t="n"/>
      <c r="AD135" s="13" t="n"/>
      <c r="AE135" s="13" t="n"/>
    </row>
    <row r="136">
      <c r="A136" s="12" t="n"/>
      <c r="B136" s="8" t="n"/>
      <c r="C136" s="8">
        <f>IFERROR(INDEX($AG136:$GA136,MATCH("職員番号*",$AG$4:$GA$4,0))&amp;"","")</f>
        <v/>
      </c>
      <c r="D136" s="8">
        <f>IFERROR(INDEX($AG136:$GA136,MATCH("氏名*",$AG$4:$GA$4,0))&amp;"","")</f>
        <v/>
      </c>
      <c r="E136" s="13" t="n"/>
      <c r="F136" s="13" t="n"/>
      <c r="G136" s="13" t="n"/>
      <c r="H136" s="14" t="n"/>
      <c r="I136" s="14" t="n"/>
      <c r="J136" s="15">
        <f>IF(AND(H136="",I136=""),"",N(H136)+N(I136))</f>
        <v/>
      </c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4" t="n"/>
      <c r="U136" s="13" t="n"/>
      <c r="V136" s="13" t="n"/>
      <c r="W136" s="13" t="n"/>
      <c r="X136" s="14" t="n"/>
      <c r="Y136" s="13" t="n"/>
      <c r="Z136" s="16" t="n"/>
      <c r="AA136" s="13" t="n"/>
      <c r="AB136" s="13" t="n"/>
      <c r="AC136" s="13" t="n"/>
      <c r="AD136" s="13" t="n"/>
      <c r="AE136" s="13" t="n"/>
    </row>
    <row r="137">
      <c r="A137" s="12" t="n"/>
      <c r="B137" s="8" t="n"/>
      <c r="C137" s="8">
        <f>IFERROR(INDEX($AG137:$GA137,MATCH("職員番号*",$AG$4:$GA$4,0))&amp;"","")</f>
        <v/>
      </c>
      <c r="D137" s="8">
        <f>IFERROR(INDEX($AG137:$GA137,MATCH("氏名*",$AG$4:$GA$4,0))&amp;"","")</f>
        <v/>
      </c>
      <c r="E137" s="13" t="n"/>
      <c r="F137" s="13" t="n"/>
      <c r="G137" s="13" t="n"/>
      <c r="H137" s="14" t="n"/>
      <c r="I137" s="14" t="n"/>
      <c r="J137" s="15">
        <f>IF(AND(H137="",I137=""),"",N(H137)+N(I137))</f>
        <v/>
      </c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4" t="n"/>
      <c r="U137" s="13" t="n"/>
      <c r="V137" s="13" t="n"/>
      <c r="W137" s="13" t="n"/>
      <c r="X137" s="14" t="n"/>
      <c r="Y137" s="13" t="n"/>
      <c r="Z137" s="16" t="n"/>
      <c r="AA137" s="13" t="n"/>
      <c r="AB137" s="13" t="n"/>
      <c r="AC137" s="13" t="n"/>
      <c r="AD137" s="13" t="n"/>
      <c r="AE137" s="13" t="n"/>
    </row>
    <row r="138">
      <c r="A138" s="12" t="n"/>
      <c r="B138" s="8" t="n"/>
      <c r="C138" s="8">
        <f>IFERROR(INDEX($AG138:$GA138,MATCH("職員番号*",$AG$4:$GA$4,0))&amp;"","")</f>
        <v/>
      </c>
      <c r="D138" s="8">
        <f>IFERROR(INDEX($AG138:$GA138,MATCH("氏名*",$AG$4:$GA$4,0))&amp;"","")</f>
        <v/>
      </c>
      <c r="E138" s="13" t="n"/>
      <c r="F138" s="13" t="n"/>
      <c r="G138" s="13" t="n"/>
      <c r="H138" s="14" t="n"/>
      <c r="I138" s="14" t="n"/>
      <c r="J138" s="15">
        <f>IF(AND(H138="",I138=""),"",N(H138)+N(I138))</f>
        <v/>
      </c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4" t="n"/>
      <c r="U138" s="13" t="n"/>
      <c r="V138" s="13" t="n"/>
      <c r="W138" s="13" t="n"/>
      <c r="X138" s="14" t="n"/>
      <c r="Y138" s="13" t="n"/>
      <c r="Z138" s="16" t="n"/>
      <c r="AA138" s="13" t="n"/>
      <c r="AB138" s="13" t="n"/>
      <c r="AC138" s="13" t="n"/>
      <c r="AD138" s="13" t="n"/>
      <c r="AE138" s="13" t="n"/>
    </row>
    <row r="139">
      <c r="A139" s="12" t="n"/>
      <c r="B139" s="8" t="n"/>
      <c r="C139" s="8">
        <f>IFERROR(INDEX($AG139:$GA139,MATCH("職員番号*",$AG$4:$GA$4,0))&amp;"","")</f>
        <v/>
      </c>
      <c r="D139" s="8">
        <f>IFERROR(INDEX($AG139:$GA139,MATCH("氏名*",$AG$4:$GA$4,0))&amp;"","")</f>
        <v/>
      </c>
      <c r="E139" s="13" t="n"/>
      <c r="F139" s="13" t="n"/>
      <c r="G139" s="13" t="n"/>
      <c r="H139" s="14" t="n"/>
      <c r="I139" s="14" t="n"/>
      <c r="J139" s="15">
        <f>IF(AND(H139="",I139=""),"",N(H139)+N(I139))</f>
        <v/>
      </c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4" t="n"/>
      <c r="U139" s="13" t="n"/>
      <c r="V139" s="13" t="n"/>
      <c r="W139" s="13" t="n"/>
      <c r="X139" s="14" t="n"/>
      <c r="Y139" s="13" t="n"/>
      <c r="Z139" s="16" t="n"/>
      <c r="AA139" s="13" t="n"/>
      <c r="AB139" s="13" t="n"/>
      <c r="AC139" s="13" t="n"/>
      <c r="AD139" s="13" t="n"/>
      <c r="AE139" s="13" t="n"/>
    </row>
    <row r="140">
      <c r="A140" s="12" t="n"/>
      <c r="B140" s="8" t="n"/>
      <c r="C140" s="8">
        <f>IFERROR(INDEX($AG140:$GA140,MATCH("職員番号*",$AG$4:$GA$4,0))&amp;"","")</f>
        <v/>
      </c>
      <c r="D140" s="8">
        <f>IFERROR(INDEX($AG140:$GA140,MATCH("氏名*",$AG$4:$GA$4,0))&amp;"","")</f>
        <v/>
      </c>
      <c r="E140" s="13" t="n"/>
      <c r="F140" s="13" t="n"/>
      <c r="G140" s="13" t="n"/>
      <c r="H140" s="14" t="n"/>
      <c r="I140" s="14" t="n"/>
      <c r="J140" s="15">
        <f>IF(AND(H140="",I140=""),"",N(H140)+N(I140))</f>
        <v/>
      </c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4" t="n"/>
      <c r="U140" s="13" t="n"/>
      <c r="V140" s="13" t="n"/>
      <c r="W140" s="13" t="n"/>
      <c r="X140" s="14" t="n"/>
      <c r="Y140" s="13" t="n"/>
      <c r="Z140" s="16" t="n"/>
      <c r="AA140" s="13" t="n"/>
      <c r="AB140" s="13" t="n"/>
      <c r="AC140" s="13" t="n"/>
      <c r="AD140" s="13" t="n"/>
      <c r="AE140" s="13" t="n"/>
    </row>
    <row r="141">
      <c r="A141" s="12" t="n"/>
      <c r="B141" s="8" t="n"/>
      <c r="C141" s="8">
        <f>IFERROR(INDEX($AG141:$GA141,MATCH("職員番号*",$AG$4:$GA$4,0))&amp;"","")</f>
        <v/>
      </c>
      <c r="D141" s="8">
        <f>IFERROR(INDEX($AG141:$GA141,MATCH("氏名*",$AG$4:$GA$4,0))&amp;"","")</f>
        <v/>
      </c>
      <c r="E141" s="13" t="n"/>
      <c r="F141" s="13" t="n"/>
      <c r="G141" s="13" t="n"/>
      <c r="H141" s="14" t="n"/>
      <c r="I141" s="14" t="n"/>
      <c r="J141" s="15">
        <f>IF(AND(H141="",I141=""),"",N(H141)+N(I141))</f>
        <v/>
      </c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4" t="n"/>
      <c r="U141" s="13" t="n"/>
      <c r="V141" s="13" t="n"/>
      <c r="W141" s="13" t="n"/>
      <c r="X141" s="14" t="n"/>
      <c r="Y141" s="13" t="n"/>
      <c r="Z141" s="16" t="n"/>
      <c r="AA141" s="13" t="n"/>
      <c r="AB141" s="13" t="n"/>
      <c r="AC141" s="13" t="n"/>
      <c r="AD141" s="13" t="n"/>
      <c r="AE141" s="13" t="n"/>
    </row>
    <row r="142">
      <c r="A142" s="12" t="n"/>
      <c r="B142" s="8" t="n"/>
      <c r="C142" s="8">
        <f>IFERROR(INDEX($AG142:$GA142,MATCH("職員番号*",$AG$4:$GA$4,0))&amp;"","")</f>
        <v/>
      </c>
      <c r="D142" s="8">
        <f>IFERROR(INDEX($AG142:$GA142,MATCH("氏名*",$AG$4:$GA$4,0))&amp;"","")</f>
        <v/>
      </c>
      <c r="E142" s="13" t="n"/>
      <c r="F142" s="13" t="n"/>
      <c r="G142" s="13" t="n"/>
      <c r="H142" s="14" t="n"/>
      <c r="I142" s="14" t="n"/>
      <c r="J142" s="15">
        <f>IF(AND(H142="",I142=""),"",N(H142)+N(I142))</f>
        <v/>
      </c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4" t="n"/>
      <c r="U142" s="13" t="n"/>
      <c r="V142" s="13" t="n"/>
      <c r="W142" s="13" t="n"/>
      <c r="X142" s="14" t="n"/>
      <c r="Y142" s="13" t="n"/>
      <c r="Z142" s="16" t="n"/>
      <c r="AA142" s="13" t="n"/>
      <c r="AB142" s="13" t="n"/>
      <c r="AC142" s="13" t="n"/>
      <c r="AD142" s="13" t="n"/>
      <c r="AE142" s="13" t="n"/>
    </row>
    <row r="143">
      <c r="A143" s="12" t="n"/>
      <c r="B143" s="8" t="n"/>
      <c r="C143" s="8">
        <f>IFERROR(INDEX($AG143:$GA143,MATCH("職員番号*",$AG$4:$GA$4,0))&amp;"","")</f>
        <v/>
      </c>
      <c r="D143" s="8">
        <f>IFERROR(INDEX($AG143:$GA143,MATCH("氏名*",$AG$4:$GA$4,0))&amp;"","")</f>
        <v/>
      </c>
      <c r="E143" s="13" t="n"/>
      <c r="F143" s="13" t="n"/>
      <c r="G143" s="13" t="n"/>
      <c r="H143" s="14" t="n"/>
      <c r="I143" s="14" t="n"/>
      <c r="J143" s="15">
        <f>IF(AND(H143="",I143=""),"",N(H143)+N(I143))</f>
        <v/>
      </c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4" t="n"/>
      <c r="U143" s="13" t="n"/>
      <c r="V143" s="13" t="n"/>
      <c r="W143" s="13" t="n"/>
      <c r="X143" s="14" t="n"/>
      <c r="Y143" s="13" t="n"/>
      <c r="Z143" s="16" t="n"/>
      <c r="AA143" s="13" t="n"/>
      <c r="AB143" s="13" t="n"/>
      <c r="AC143" s="13" t="n"/>
      <c r="AD143" s="13" t="n"/>
      <c r="AE143" s="13" t="n"/>
    </row>
    <row r="144">
      <c r="A144" s="12" t="n"/>
      <c r="B144" s="8" t="n"/>
      <c r="C144" s="8">
        <f>IFERROR(INDEX($AG144:$GA144,MATCH("職員番号*",$AG$4:$GA$4,0))&amp;"","")</f>
        <v/>
      </c>
      <c r="D144" s="8">
        <f>IFERROR(INDEX($AG144:$GA144,MATCH("氏名*",$AG$4:$GA$4,0))&amp;"","")</f>
        <v/>
      </c>
      <c r="E144" s="13" t="n"/>
      <c r="F144" s="13" t="n"/>
      <c r="G144" s="13" t="n"/>
      <c r="H144" s="14" t="n"/>
      <c r="I144" s="14" t="n"/>
      <c r="J144" s="15">
        <f>IF(AND(H144="",I144=""),"",N(H144)+N(I144))</f>
        <v/>
      </c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4" t="n"/>
      <c r="U144" s="13" t="n"/>
      <c r="V144" s="13" t="n"/>
      <c r="W144" s="13" t="n"/>
      <c r="X144" s="14" t="n"/>
      <c r="Y144" s="13" t="n"/>
      <c r="Z144" s="16" t="n"/>
      <c r="AA144" s="13" t="n"/>
      <c r="AB144" s="13" t="n"/>
      <c r="AC144" s="13" t="n"/>
      <c r="AD144" s="13" t="n"/>
      <c r="AE144" s="13" t="n"/>
    </row>
    <row r="145">
      <c r="A145" s="12" t="n"/>
      <c r="B145" s="8" t="n"/>
      <c r="C145" s="8">
        <f>IFERROR(INDEX($AG145:$GA145,MATCH("職員番号*",$AG$4:$GA$4,0))&amp;"","")</f>
        <v/>
      </c>
      <c r="D145" s="8">
        <f>IFERROR(INDEX($AG145:$GA145,MATCH("氏名*",$AG$4:$GA$4,0))&amp;"","")</f>
        <v/>
      </c>
      <c r="E145" s="13" t="n"/>
      <c r="F145" s="13" t="n"/>
      <c r="G145" s="13" t="n"/>
      <c r="H145" s="14" t="n"/>
      <c r="I145" s="14" t="n"/>
      <c r="J145" s="15">
        <f>IF(AND(H145="",I145=""),"",N(H145)+N(I145))</f>
        <v/>
      </c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4" t="n"/>
      <c r="U145" s="13" t="n"/>
      <c r="V145" s="13" t="n"/>
      <c r="W145" s="13" t="n"/>
      <c r="X145" s="14" t="n"/>
      <c r="Y145" s="13" t="n"/>
      <c r="Z145" s="16" t="n"/>
      <c r="AA145" s="13" t="n"/>
      <c r="AB145" s="13" t="n"/>
      <c r="AC145" s="13" t="n"/>
      <c r="AD145" s="13" t="n"/>
      <c r="AE145" s="13" t="n"/>
    </row>
    <row r="146">
      <c r="A146" s="12" t="n"/>
      <c r="B146" s="8" t="n"/>
      <c r="C146" s="8">
        <f>IFERROR(INDEX($AG146:$GA146,MATCH("職員番号*",$AG$4:$GA$4,0))&amp;"","")</f>
        <v/>
      </c>
      <c r="D146" s="8">
        <f>IFERROR(INDEX($AG146:$GA146,MATCH("氏名*",$AG$4:$GA$4,0))&amp;"","")</f>
        <v/>
      </c>
      <c r="E146" s="13" t="n"/>
      <c r="F146" s="13" t="n"/>
      <c r="G146" s="13" t="n"/>
      <c r="H146" s="14" t="n"/>
      <c r="I146" s="14" t="n"/>
      <c r="J146" s="15">
        <f>IF(AND(H146="",I146=""),"",N(H146)+N(I146))</f>
        <v/>
      </c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4" t="n"/>
      <c r="U146" s="13" t="n"/>
      <c r="V146" s="13" t="n"/>
      <c r="W146" s="13" t="n"/>
      <c r="X146" s="14" t="n"/>
      <c r="Y146" s="13" t="n"/>
      <c r="Z146" s="16" t="n"/>
      <c r="AA146" s="13" t="n"/>
      <c r="AB146" s="13" t="n"/>
      <c r="AC146" s="13" t="n"/>
      <c r="AD146" s="13" t="n"/>
      <c r="AE146" s="13" t="n"/>
    </row>
    <row r="147">
      <c r="A147" s="12" t="n"/>
      <c r="B147" s="8" t="n"/>
      <c r="C147" s="8">
        <f>IFERROR(INDEX($AG147:$GA147,MATCH("職員番号*",$AG$4:$GA$4,0))&amp;"","")</f>
        <v/>
      </c>
      <c r="D147" s="8">
        <f>IFERROR(INDEX($AG147:$GA147,MATCH("氏名*",$AG$4:$GA$4,0))&amp;"","")</f>
        <v/>
      </c>
      <c r="E147" s="13" t="n"/>
      <c r="F147" s="13" t="n"/>
      <c r="G147" s="13" t="n"/>
      <c r="H147" s="14" t="n"/>
      <c r="I147" s="14" t="n"/>
      <c r="J147" s="15">
        <f>IF(AND(H147="",I147=""),"",N(H147)+N(I147))</f>
        <v/>
      </c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4" t="n"/>
      <c r="U147" s="13" t="n"/>
      <c r="V147" s="13" t="n"/>
      <c r="W147" s="13" t="n"/>
      <c r="X147" s="14" t="n"/>
      <c r="Y147" s="13" t="n"/>
      <c r="Z147" s="16" t="n"/>
      <c r="AA147" s="13" t="n"/>
      <c r="AB147" s="13" t="n"/>
      <c r="AC147" s="13" t="n"/>
      <c r="AD147" s="13" t="n"/>
      <c r="AE147" s="13" t="n"/>
    </row>
    <row r="148">
      <c r="A148" s="12" t="n"/>
      <c r="B148" s="8" t="n"/>
      <c r="C148" s="8">
        <f>IFERROR(INDEX($AG148:$GA148,MATCH("職員番号*",$AG$4:$GA$4,0))&amp;"","")</f>
        <v/>
      </c>
      <c r="D148" s="8">
        <f>IFERROR(INDEX($AG148:$GA148,MATCH("氏名*",$AG$4:$GA$4,0))&amp;"","")</f>
        <v/>
      </c>
      <c r="E148" s="13" t="n"/>
      <c r="F148" s="13" t="n"/>
      <c r="G148" s="13" t="n"/>
      <c r="H148" s="14" t="n"/>
      <c r="I148" s="14" t="n"/>
      <c r="J148" s="15">
        <f>IF(AND(H148="",I148=""),"",N(H148)+N(I148))</f>
        <v/>
      </c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4" t="n"/>
      <c r="U148" s="13" t="n"/>
      <c r="V148" s="13" t="n"/>
      <c r="W148" s="13" t="n"/>
      <c r="X148" s="14" t="n"/>
      <c r="Y148" s="13" t="n"/>
      <c r="Z148" s="16" t="n"/>
      <c r="AA148" s="13" t="n"/>
      <c r="AB148" s="13" t="n"/>
      <c r="AC148" s="13" t="n"/>
      <c r="AD148" s="13" t="n"/>
      <c r="AE148" s="13" t="n"/>
    </row>
    <row r="149">
      <c r="A149" s="12" t="n"/>
      <c r="B149" s="8" t="n"/>
      <c r="C149" s="8">
        <f>IFERROR(INDEX($AG149:$GA149,MATCH("職員番号*",$AG$4:$GA$4,0))&amp;"","")</f>
        <v/>
      </c>
      <c r="D149" s="8">
        <f>IFERROR(INDEX($AG149:$GA149,MATCH("氏名*",$AG$4:$GA$4,0))&amp;"","")</f>
        <v/>
      </c>
      <c r="E149" s="13" t="n"/>
      <c r="F149" s="13" t="n"/>
      <c r="G149" s="13" t="n"/>
      <c r="H149" s="14" t="n"/>
      <c r="I149" s="14" t="n"/>
      <c r="J149" s="15">
        <f>IF(AND(H149="",I149=""),"",N(H149)+N(I149))</f>
        <v/>
      </c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4" t="n"/>
      <c r="U149" s="13" t="n"/>
      <c r="V149" s="13" t="n"/>
      <c r="W149" s="13" t="n"/>
      <c r="X149" s="14" t="n"/>
      <c r="Y149" s="13" t="n"/>
      <c r="Z149" s="16" t="n"/>
      <c r="AA149" s="13" t="n"/>
      <c r="AB149" s="13" t="n"/>
      <c r="AC149" s="13" t="n"/>
      <c r="AD149" s="13" t="n"/>
      <c r="AE149" s="13" t="n"/>
    </row>
    <row r="150">
      <c r="A150" s="12" t="n"/>
      <c r="B150" s="8" t="n"/>
      <c r="C150" s="8">
        <f>IFERROR(INDEX($AG150:$GA150,MATCH("職員番号*",$AG$4:$GA$4,0))&amp;"","")</f>
        <v/>
      </c>
      <c r="D150" s="8">
        <f>IFERROR(INDEX($AG150:$GA150,MATCH("氏名*",$AG$4:$GA$4,0))&amp;"","")</f>
        <v/>
      </c>
      <c r="E150" s="13" t="n"/>
      <c r="F150" s="13" t="n"/>
      <c r="G150" s="13" t="n"/>
      <c r="H150" s="14" t="n"/>
      <c r="I150" s="14" t="n"/>
      <c r="J150" s="15">
        <f>IF(AND(H150="",I150=""),"",N(H150)+N(I150))</f>
        <v/>
      </c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4" t="n"/>
      <c r="U150" s="13" t="n"/>
      <c r="V150" s="13" t="n"/>
      <c r="W150" s="13" t="n"/>
      <c r="X150" s="14" t="n"/>
      <c r="Y150" s="13" t="n"/>
      <c r="Z150" s="16" t="n"/>
      <c r="AA150" s="13" t="n"/>
      <c r="AB150" s="13" t="n"/>
      <c r="AC150" s="13" t="n"/>
      <c r="AD150" s="13" t="n"/>
      <c r="AE150" s="13" t="n"/>
    </row>
    <row r="151">
      <c r="A151" s="12" t="n"/>
      <c r="B151" s="8" t="n"/>
      <c r="C151" s="8">
        <f>IFERROR(INDEX($AG151:$GA151,MATCH("職員番号*",$AG$4:$GA$4,0))&amp;"","")</f>
        <v/>
      </c>
      <c r="D151" s="8">
        <f>IFERROR(INDEX($AG151:$GA151,MATCH("氏名*",$AG$4:$GA$4,0))&amp;"","")</f>
        <v/>
      </c>
      <c r="E151" s="13" t="n"/>
      <c r="F151" s="13" t="n"/>
      <c r="G151" s="13" t="n"/>
      <c r="H151" s="14" t="n"/>
      <c r="I151" s="14" t="n"/>
      <c r="J151" s="15">
        <f>IF(AND(H151="",I151=""),"",N(H151)+N(I151))</f>
        <v/>
      </c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4" t="n"/>
      <c r="U151" s="13" t="n"/>
      <c r="V151" s="13" t="n"/>
      <c r="W151" s="13" t="n"/>
      <c r="X151" s="14" t="n"/>
      <c r="Y151" s="13" t="n"/>
      <c r="Z151" s="16" t="n"/>
      <c r="AA151" s="13" t="n"/>
      <c r="AB151" s="13" t="n"/>
      <c r="AC151" s="13" t="n"/>
      <c r="AD151" s="13" t="n"/>
      <c r="AE151" s="13" t="n"/>
    </row>
    <row r="152">
      <c r="A152" s="12" t="n"/>
      <c r="B152" s="8" t="n"/>
      <c r="C152" s="8">
        <f>IFERROR(INDEX($AG152:$GA152,MATCH("職員番号*",$AG$4:$GA$4,0))&amp;"","")</f>
        <v/>
      </c>
      <c r="D152" s="8">
        <f>IFERROR(INDEX($AG152:$GA152,MATCH("氏名*",$AG$4:$GA$4,0))&amp;"","")</f>
        <v/>
      </c>
      <c r="E152" s="13" t="n"/>
      <c r="F152" s="13" t="n"/>
      <c r="G152" s="13" t="n"/>
      <c r="H152" s="14" t="n"/>
      <c r="I152" s="14" t="n"/>
      <c r="J152" s="15">
        <f>IF(AND(H152="",I152=""),"",N(H152)+N(I152))</f>
        <v/>
      </c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4" t="n"/>
      <c r="U152" s="13" t="n"/>
      <c r="V152" s="13" t="n"/>
      <c r="W152" s="13" t="n"/>
      <c r="X152" s="14" t="n"/>
      <c r="Y152" s="13" t="n"/>
      <c r="Z152" s="16" t="n"/>
      <c r="AA152" s="13" t="n"/>
      <c r="AB152" s="13" t="n"/>
      <c r="AC152" s="13" t="n"/>
      <c r="AD152" s="13" t="n"/>
      <c r="AE152" s="13" t="n"/>
    </row>
    <row r="153">
      <c r="A153" s="12" t="n"/>
      <c r="B153" s="8" t="n"/>
      <c r="C153" s="8">
        <f>IFERROR(INDEX($AG153:$GA153,MATCH("職員番号*",$AG$4:$GA$4,0))&amp;"","")</f>
        <v/>
      </c>
      <c r="D153" s="8">
        <f>IFERROR(INDEX($AG153:$GA153,MATCH("氏名*",$AG$4:$GA$4,0))&amp;"","")</f>
        <v/>
      </c>
      <c r="E153" s="13" t="n"/>
      <c r="F153" s="13" t="n"/>
      <c r="G153" s="13" t="n"/>
      <c r="H153" s="14" t="n"/>
      <c r="I153" s="14" t="n"/>
      <c r="J153" s="15">
        <f>IF(AND(H153="",I153=""),"",N(H153)+N(I153))</f>
        <v/>
      </c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4" t="n"/>
      <c r="U153" s="13" t="n"/>
      <c r="V153" s="13" t="n"/>
      <c r="W153" s="13" t="n"/>
      <c r="X153" s="14" t="n"/>
      <c r="Y153" s="13" t="n"/>
      <c r="Z153" s="16" t="n"/>
      <c r="AA153" s="13" t="n"/>
      <c r="AB153" s="13" t="n"/>
      <c r="AC153" s="13" t="n"/>
      <c r="AD153" s="13" t="n"/>
      <c r="AE153" s="13" t="n"/>
    </row>
    <row r="154">
      <c r="A154" s="12" t="n"/>
      <c r="B154" s="8" t="n"/>
      <c r="C154" s="8">
        <f>IFERROR(INDEX($AG154:$GA154,MATCH("職員番号*",$AG$4:$GA$4,0))&amp;"","")</f>
        <v/>
      </c>
      <c r="D154" s="8">
        <f>IFERROR(INDEX($AG154:$GA154,MATCH("氏名*",$AG$4:$GA$4,0))&amp;"","")</f>
        <v/>
      </c>
      <c r="E154" s="13" t="n"/>
      <c r="F154" s="13" t="n"/>
      <c r="G154" s="13" t="n"/>
      <c r="H154" s="14" t="n"/>
      <c r="I154" s="14" t="n"/>
      <c r="J154" s="15">
        <f>IF(AND(H154="",I154=""),"",N(H154)+N(I154))</f>
        <v/>
      </c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4" t="n"/>
      <c r="U154" s="13" t="n"/>
      <c r="V154" s="13" t="n"/>
      <c r="W154" s="13" t="n"/>
      <c r="X154" s="14" t="n"/>
      <c r="Y154" s="13" t="n"/>
      <c r="Z154" s="16" t="n"/>
      <c r="AA154" s="13" t="n"/>
      <c r="AB154" s="13" t="n"/>
      <c r="AC154" s="13" t="n"/>
      <c r="AD154" s="13" t="n"/>
      <c r="AE154" s="13" t="n"/>
    </row>
    <row r="155">
      <c r="A155" s="12" t="n"/>
      <c r="B155" s="8" t="n"/>
      <c r="C155" s="8">
        <f>IFERROR(INDEX($AG155:$GA155,MATCH("職員番号*",$AG$4:$GA$4,0))&amp;"","")</f>
        <v/>
      </c>
      <c r="D155" s="8">
        <f>IFERROR(INDEX($AG155:$GA155,MATCH("氏名*",$AG$4:$GA$4,0))&amp;"","")</f>
        <v/>
      </c>
      <c r="E155" s="13" t="n"/>
      <c r="F155" s="13" t="n"/>
      <c r="G155" s="13" t="n"/>
      <c r="H155" s="14" t="n"/>
      <c r="I155" s="14" t="n"/>
      <c r="J155" s="15">
        <f>IF(AND(H155="",I155=""),"",N(H155)+N(I155))</f>
        <v/>
      </c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4" t="n"/>
      <c r="U155" s="13" t="n"/>
      <c r="V155" s="13" t="n"/>
      <c r="W155" s="13" t="n"/>
      <c r="X155" s="14" t="n"/>
      <c r="Y155" s="13" t="n"/>
      <c r="Z155" s="16" t="n"/>
      <c r="AA155" s="13" t="n"/>
      <c r="AB155" s="13" t="n"/>
      <c r="AC155" s="13" t="n"/>
      <c r="AD155" s="13" t="n"/>
      <c r="AE155" s="13" t="n"/>
    </row>
    <row r="156">
      <c r="A156" s="12" t="n"/>
      <c r="B156" s="8" t="n"/>
      <c r="C156" s="8">
        <f>IFERROR(INDEX($AG156:$GA156,MATCH("職員番号*",$AG$4:$GA$4,0))&amp;"","")</f>
        <v/>
      </c>
      <c r="D156" s="8">
        <f>IFERROR(INDEX($AG156:$GA156,MATCH("氏名*",$AG$4:$GA$4,0))&amp;"","")</f>
        <v/>
      </c>
      <c r="E156" s="13" t="n"/>
      <c r="F156" s="13" t="n"/>
      <c r="G156" s="13" t="n"/>
      <c r="H156" s="14" t="n"/>
      <c r="I156" s="14" t="n"/>
      <c r="J156" s="15">
        <f>IF(AND(H156="",I156=""),"",N(H156)+N(I156))</f>
        <v/>
      </c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4" t="n"/>
      <c r="U156" s="13" t="n"/>
      <c r="V156" s="13" t="n"/>
      <c r="W156" s="13" t="n"/>
      <c r="X156" s="14" t="n"/>
      <c r="Y156" s="13" t="n"/>
      <c r="Z156" s="16" t="n"/>
      <c r="AA156" s="13" t="n"/>
      <c r="AB156" s="13" t="n"/>
      <c r="AC156" s="13" t="n"/>
      <c r="AD156" s="13" t="n"/>
      <c r="AE156" s="13" t="n"/>
    </row>
    <row r="157">
      <c r="A157" s="12" t="n"/>
      <c r="B157" s="8" t="n"/>
      <c r="C157" s="8">
        <f>IFERROR(INDEX($AG157:$GA157,MATCH("職員番号*",$AG$4:$GA$4,0))&amp;"","")</f>
        <v/>
      </c>
      <c r="D157" s="8">
        <f>IFERROR(INDEX($AG157:$GA157,MATCH("氏名*",$AG$4:$GA$4,0))&amp;"","")</f>
        <v/>
      </c>
      <c r="E157" s="13" t="n"/>
      <c r="F157" s="13" t="n"/>
      <c r="G157" s="13" t="n"/>
      <c r="H157" s="14" t="n"/>
      <c r="I157" s="14" t="n"/>
      <c r="J157" s="15">
        <f>IF(AND(H157="",I157=""),"",N(H157)+N(I157))</f>
        <v/>
      </c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4" t="n"/>
      <c r="U157" s="13" t="n"/>
      <c r="V157" s="13" t="n"/>
      <c r="W157" s="13" t="n"/>
      <c r="X157" s="14" t="n"/>
      <c r="Y157" s="13" t="n"/>
      <c r="Z157" s="16" t="n"/>
      <c r="AA157" s="13" t="n"/>
      <c r="AB157" s="13" t="n"/>
      <c r="AC157" s="13" t="n"/>
      <c r="AD157" s="13" t="n"/>
      <c r="AE157" s="13" t="n"/>
    </row>
    <row r="158">
      <c r="A158" s="12" t="n"/>
      <c r="B158" s="8" t="n"/>
      <c r="C158" s="8">
        <f>IFERROR(INDEX($AG158:$GA158,MATCH("職員番号*",$AG$4:$GA$4,0))&amp;"","")</f>
        <v/>
      </c>
      <c r="D158" s="8">
        <f>IFERROR(INDEX($AG158:$GA158,MATCH("氏名*",$AG$4:$GA$4,0))&amp;"","")</f>
        <v/>
      </c>
      <c r="E158" s="13" t="n"/>
      <c r="F158" s="13" t="n"/>
      <c r="G158" s="13" t="n"/>
      <c r="H158" s="14" t="n"/>
      <c r="I158" s="14" t="n"/>
      <c r="J158" s="15">
        <f>IF(AND(H158="",I158=""),"",N(H158)+N(I158))</f>
        <v/>
      </c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4" t="n"/>
      <c r="U158" s="13" t="n"/>
      <c r="V158" s="13" t="n"/>
      <c r="W158" s="13" t="n"/>
      <c r="X158" s="14" t="n"/>
      <c r="Y158" s="13" t="n"/>
      <c r="Z158" s="16" t="n"/>
      <c r="AA158" s="13" t="n"/>
      <c r="AB158" s="13" t="n"/>
      <c r="AC158" s="13" t="n"/>
      <c r="AD158" s="13" t="n"/>
      <c r="AE158" s="13" t="n"/>
    </row>
    <row r="159">
      <c r="A159" s="12" t="n"/>
      <c r="B159" s="8" t="n"/>
      <c r="C159" s="8">
        <f>IFERROR(INDEX($AG159:$GA159,MATCH("職員番号*",$AG$4:$GA$4,0))&amp;"","")</f>
        <v/>
      </c>
      <c r="D159" s="8">
        <f>IFERROR(INDEX($AG159:$GA159,MATCH("氏名*",$AG$4:$GA$4,0))&amp;"","")</f>
        <v/>
      </c>
      <c r="E159" s="13" t="n"/>
      <c r="F159" s="13" t="n"/>
      <c r="G159" s="13" t="n"/>
      <c r="H159" s="14" t="n"/>
      <c r="I159" s="14" t="n"/>
      <c r="J159" s="15">
        <f>IF(AND(H159="",I159=""),"",N(H159)+N(I159))</f>
        <v/>
      </c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4" t="n"/>
      <c r="U159" s="13" t="n"/>
      <c r="V159" s="13" t="n"/>
      <c r="W159" s="13" t="n"/>
      <c r="X159" s="14" t="n"/>
      <c r="Y159" s="13" t="n"/>
      <c r="Z159" s="16" t="n"/>
      <c r="AA159" s="13" t="n"/>
      <c r="AB159" s="13" t="n"/>
      <c r="AC159" s="13" t="n"/>
      <c r="AD159" s="13" t="n"/>
      <c r="AE159" s="13" t="n"/>
    </row>
    <row r="160">
      <c r="A160" s="12" t="n"/>
      <c r="B160" s="8" t="n"/>
      <c r="C160" s="8">
        <f>IFERROR(INDEX($AG160:$GA160,MATCH("職員番号*",$AG$4:$GA$4,0))&amp;"","")</f>
        <v/>
      </c>
      <c r="D160" s="8">
        <f>IFERROR(INDEX($AG160:$GA160,MATCH("氏名*",$AG$4:$GA$4,0))&amp;"","")</f>
        <v/>
      </c>
      <c r="E160" s="13" t="n"/>
      <c r="F160" s="13" t="n"/>
      <c r="G160" s="13" t="n"/>
      <c r="H160" s="14" t="n"/>
      <c r="I160" s="14" t="n"/>
      <c r="J160" s="15">
        <f>IF(AND(H160="",I160=""),"",N(H160)+N(I160))</f>
        <v/>
      </c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4" t="n"/>
      <c r="U160" s="13" t="n"/>
      <c r="V160" s="13" t="n"/>
      <c r="W160" s="13" t="n"/>
      <c r="X160" s="14" t="n"/>
      <c r="Y160" s="13" t="n"/>
      <c r="Z160" s="16" t="n"/>
      <c r="AA160" s="13" t="n"/>
      <c r="AB160" s="13" t="n"/>
      <c r="AC160" s="13" t="n"/>
      <c r="AD160" s="13" t="n"/>
      <c r="AE160" s="13" t="n"/>
    </row>
    <row r="161">
      <c r="A161" s="12" t="n"/>
      <c r="B161" s="8" t="n"/>
      <c r="C161" s="8">
        <f>IFERROR(INDEX($AG161:$GA161,MATCH("職員番号*",$AG$4:$GA$4,0))&amp;"","")</f>
        <v/>
      </c>
      <c r="D161" s="8">
        <f>IFERROR(INDEX($AG161:$GA161,MATCH("氏名*",$AG$4:$GA$4,0))&amp;"","")</f>
        <v/>
      </c>
      <c r="E161" s="13" t="n"/>
      <c r="F161" s="13" t="n"/>
      <c r="G161" s="13" t="n"/>
      <c r="H161" s="14" t="n"/>
      <c r="I161" s="14" t="n"/>
      <c r="J161" s="15">
        <f>IF(AND(H161="",I161=""),"",N(H161)+N(I161))</f>
        <v/>
      </c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4" t="n"/>
      <c r="U161" s="13" t="n"/>
      <c r="V161" s="13" t="n"/>
      <c r="W161" s="13" t="n"/>
      <c r="X161" s="14" t="n"/>
      <c r="Y161" s="13" t="n"/>
      <c r="Z161" s="16" t="n"/>
      <c r="AA161" s="13" t="n"/>
      <c r="AB161" s="13" t="n"/>
      <c r="AC161" s="13" t="n"/>
      <c r="AD161" s="13" t="n"/>
      <c r="AE161" s="13" t="n"/>
    </row>
    <row r="162">
      <c r="A162" s="12" t="n"/>
      <c r="B162" s="8" t="n"/>
      <c r="C162" s="8">
        <f>IFERROR(INDEX($AG162:$GA162,MATCH("職員番号*",$AG$4:$GA$4,0))&amp;"","")</f>
        <v/>
      </c>
      <c r="D162" s="8">
        <f>IFERROR(INDEX($AG162:$GA162,MATCH("氏名*",$AG$4:$GA$4,0))&amp;"","")</f>
        <v/>
      </c>
      <c r="E162" s="13" t="n"/>
      <c r="F162" s="13" t="n"/>
      <c r="G162" s="13" t="n"/>
      <c r="H162" s="14" t="n"/>
      <c r="I162" s="14" t="n"/>
      <c r="J162" s="15">
        <f>IF(AND(H162="",I162=""),"",N(H162)+N(I162))</f>
        <v/>
      </c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4" t="n"/>
      <c r="U162" s="13" t="n"/>
      <c r="V162" s="13" t="n"/>
      <c r="W162" s="13" t="n"/>
      <c r="X162" s="14" t="n"/>
      <c r="Y162" s="13" t="n"/>
      <c r="Z162" s="16" t="n"/>
      <c r="AA162" s="13" t="n"/>
      <c r="AB162" s="13" t="n"/>
      <c r="AC162" s="13" t="n"/>
      <c r="AD162" s="13" t="n"/>
      <c r="AE162" s="13" t="n"/>
    </row>
    <row r="163">
      <c r="A163" s="12" t="n"/>
      <c r="B163" s="8" t="n"/>
      <c r="C163" s="8">
        <f>IFERROR(INDEX($AG163:$GA163,MATCH("職員番号*",$AG$4:$GA$4,0))&amp;"","")</f>
        <v/>
      </c>
      <c r="D163" s="8">
        <f>IFERROR(INDEX($AG163:$GA163,MATCH("氏名*",$AG$4:$GA$4,0))&amp;"","")</f>
        <v/>
      </c>
      <c r="E163" s="13" t="n"/>
      <c r="F163" s="13" t="n"/>
      <c r="G163" s="13" t="n"/>
      <c r="H163" s="14" t="n"/>
      <c r="I163" s="14" t="n"/>
      <c r="J163" s="15">
        <f>IF(AND(H163="",I163=""),"",N(H163)+N(I163))</f>
        <v/>
      </c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4" t="n"/>
      <c r="U163" s="13" t="n"/>
      <c r="V163" s="13" t="n"/>
      <c r="W163" s="13" t="n"/>
      <c r="X163" s="14" t="n"/>
      <c r="Y163" s="13" t="n"/>
      <c r="Z163" s="16" t="n"/>
      <c r="AA163" s="13" t="n"/>
      <c r="AB163" s="13" t="n"/>
      <c r="AC163" s="13" t="n"/>
      <c r="AD163" s="13" t="n"/>
      <c r="AE163" s="13" t="n"/>
    </row>
    <row r="164">
      <c r="A164" s="12" t="n"/>
      <c r="B164" s="8" t="n"/>
      <c r="C164" s="8">
        <f>IFERROR(INDEX($AG164:$GA164,MATCH("職員番号*",$AG$4:$GA$4,0))&amp;"","")</f>
        <v/>
      </c>
      <c r="D164" s="8">
        <f>IFERROR(INDEX($AG164:$GA164,MATCH("氏名*",$AG$4:$GA$4,0))&amp;"","")</f>
        <v/>
      </c>
      <c r="E164" s="13" t="n"/>
      <c r="F164" s="13" t="n"/>
      <c r="G164" s="13" t="n"/>
      <c r="H164" s="14" t="n"/>
      <c r="I164" s="14" t="n"/>
      <c r="J164" s="15">
        <f>IF(AND(H164="",I164=""),"",N(H164)+N(I164))</f>
        <v/>
      </c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4" t="n"/>
      <c r="U164" s="13" t="n"/>
      <c r="V164" s="13" t="n"/>
      <c r="W164" s="13" t="n"/>
      <c r="X164" s="14" t="n"/>
      <c r="Y164" s="13" t="n"/>
      <c r="Z164" s="16" t="n"/>
      <c r="AA164" s="13" t="n"/>
      <c r="AB164" s="13" t="n"/>
      <c r="AC164" s="13" t="n"/>
      <c r="AD164" s="13" t="n"/>
      <c r="AE164" s="13" t="n"/>
    </row>
    <row r="165">
      <c r="A165" s="12" t="n"/>
      <c r="B165" s="8" t="n"/>
      <c r="C165" s="8">
        <f>IFERROR(INDEX($AG165:$GA165,MATCH("職員番号*",$AG$4:$GA$4,0))&amp;"","")</f>
        <v/>
      </c>
      <c r="D165" s="8">
        <f>IFERROR(INDEX($AG165:$GA165,MATCH("氏名*",$AG$4:$GA$4,0))&amp;"","")</f>
        <v/>
      </c>
      <c r="E165" s="13" t="n"/>
      <c r="F165" s="13" t="n"/>
      <c r="G165" s="13" t="n"/>
      <c r="H165" s="14" t="n"/>
      <c r="I165" s="14" t="n"/>
      <c r="J165" s="15">
        <f>IF(AND(H165="",I165=""),"",N(H165)+N(I165))</f>
        <v/>
      </c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4" t="n"/>
      <c r="U165" s="13" t="n"/>
      <c r="V165" s="13" t="n"/>
      <c r="W165" s="13" t="n"/>
      <c r="X165" s="14" t="n"/>
      <c r="Y165" s="13" t="n"/>
      <c r="Z165" s="16" t="n"/>
      <c r="AA165" s="13" t="n"/>
      <c r="AB165" s="13" t="n"/>
      <c r="AC165" s="13" t="n"/>
      <c r="AD165" s="13" t="n"/>
      <c r="AE165" s="13" t="n"/>
    </row>
    <row r="166">
      <c r="A166" s="12" t="n"/>
      <c r="B166" s="8" t="n"/>
      <c r="C166" s="8">
        <f>IFERROR(INDEX($AG166:$GA166,MATCH("職員番号*",$AG$4:$GA$4,0))&amp;"","")</f>
        <v/>
      </c>
      <c r="D166" s="8">
        <f>IFERROR(INDEX($AG166:$GA166,MATCH("氏名*",$AG$4:$GA$4,0))&amp;"","")</f>
        <v/>
      </c>
      <c r="E166" s="13" t="n"/>
      <c r="F166" s="13" t="n"/>
      <c r="G166" s="13" t="n"/>
      <c r="H166" s="14" t="n"/>
      <c r="I166" s="14" t="n"/>
      <c r="J166" s="15">
        <f>IF(AND(H166="",I166=""),"",N(H166)+N(I166))</f>
        <v/>
      </c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4" t="n"/>
      <c r="U166" s="13" t="n"/>
      <c r="V166" s="13" t="n"/>
      <c r="W166" s="13" t="n"/>
      <c r="X166" s="14" t="n"/>
      <c r="Y166" s="13" t="n"/>
      <c r="Z166" s="16" t="n"/>
      <c r="AA166" s="13" t="n"/>
      <c r="AB166" s="13" t="n"/>
      <c r="AC166" s="13" t="n"/>
      <c r="AD166" s="13" t="n"/>
      <c r="AE166" s="13" t="n"/>
    </row>
    <row r="167">
      <c r="A167" s="12" t="n"/>
      <c r="B167" s="8" t="n"/>
      <c r="C167" s="8">
        <f>IFERROR(INDEX($AG167:$GA167,MATCH("職員番号*",$AG$4:$GA$4,0))&amp;"","")</f>
        <v/>
      </c>
      <c r="D167" s="8">
        <f>IFERROR(INDEX($AG167:$GA167,MATCH("氏名*",$AG$4:$GA$4,0))&amp;"","")</f>
        <v/>
      </c>
      <c r="E167" s="13" t="n"/>
      <c r="F167" s="13" t="n"/>
      <c r="G167" s="13" t="n"/>
      <c r="H167" s="14" t="n"/>
      <c r="I167" s="14" t="n"/>
      <c r="J167" s="15">
        <f>IF(AND(H167="",I167=""),"",N(H167)+N(I167))</f>
        <v/>
      </c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4" t="n"/>
      <c r="U167" s="13" t="n"/>
      <c r="V167" s="13" t="n"/>
      <c r="W167" s="13" t="n"/>
      <c r="X167" s="14" t="n"/>
      <c r="Y167" s="13" t="n"/>
      <c r="Z167" s="16" t="n"/>
      <c r="AA167" s="13" t="n"/>
      <c r="AB167" s="13" t="n"/>
      <c r="AC167" s="13" t="n"/>
      <c r="AD167" s="13" t="n"/>
      <c r="AE167" s="13" t="n"/>
    </row>
    <row r="168">
      <c r="A168" s="12" t="n"/>
      <c r="B168" s="8" t="n"/>
      <c r="C168" s="8">
        <f>IFERROR(INDEX($AG168:$GA168,MATCH("職員番号*",$AG$4:$GA$4,0))&amp;"","")</f>
        <v/>
      </c>
      <c r="D168" s="8">
        <f>IFERROR(INDEX($AG168:$GA168,MATCH("氏名*",$AG$4:$GA$4,0))&amp;"","")</f>
        <v/>
      </c>
      <c r="E168" s="13" t="n"/>
      <c r="F168" s="13" t="n"/>
      <c r="G168" s="13" t="n"/>
      <c r="H168" s="14" t="n"/>
      <c r="I168" s="14" t="n"/>
      <c r="J168" s="15">
        <f>IF(AND(H168="",I168=""),"",N(H168)+N(I168))</f>
        <v/>
      </c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4" t="n"/>
      <c r="U168" s="13" t="n"/>
      <c r="V168" s="13" t="n"/>
      <c r="W168" s="13" t="n"/>
      <c r="X168" s="14" t="n"/>
      <c r="Y168" s="13" t="n"/>
      <c r="Z168" s="16" t="n"/>
      <c r="AA168" s="13" t="n"/>
      <c r="AB168" s="13" t="n"/>
      <c r="AC168" s="13" t="n"/>
      <c r="AD168" s="13" t="n"/>
      <c r="AE168" s="13" t="n"/>
    </row>
    <row r="169">
      <c r="A169" s="12" t="n"/>
      <c r="B169" s="8" t="n"/>
      <c r="C169" s="8">
        <f>IFERROR(INDEX($AG169:$GA169,MATCH("職員番号*",$AG$4:$GA$4,0))&amp;"","")</f>
        <v/>
      </c>
      <c r="D169" s="8">
        <f>IFERROR(INDEX($AG169:$GA169,MATCH("氏名*",$AG$4:$GA$4,0))&amp;"","")</f>
        <v/>
      </c>
      <c r="E169" s="13" t="n"/>
      <c r="F169" s="13" t="n"/>
      <c r="G169" s="13" t="n"/>
      <c r="H169" s="14" t="n"/>
      <c r="I169" s="14" t="n"/>
      <c r="J169" s="15">
        <f>IF(AND(H169="",I169=""),"",N(H169)+N(I169))</f>
        <v/>
      </c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4" t="n"/>
      <c r="U169" s="13" t="n"/>
      <c r="V169" s="13" t="n"/>
      <c r="W169" s="13" t="n"/>
      <c r="X169" s="14" t="n"/>
      <c r="Y169" s="13" t="n"/>
      <c r="Z169" s="16" t="n"/>
      <c r="AA169" s="13" t="n"/>
      <c r="AB169" s="13" t="n"/>
      <c r="AC169" s="13" t="n"/>
      <c r="AD169" s="13" t="n"/>
      <c r="AE169" s="13" t="n"/>
    </row>
    <row r="170">
      <c r="A170" s="12" t="n"/>
      <c r="B170" s="8" t="n"/>
      <c r="C170" s="8">
        <f>IFERROR(INDEX($AG170:$GA170,MATCH("職員番号*",$AG$4:$GA$4,0))&amp;"","")</f>
        <v/>
      </c>
      <c r="D170" s="8">
        <f>IFERROR(INDEX($AG170:$GA170,MATCH("氏名*",$AG$4:$GA$4,0))&amp;"","")</f>
        <v/>
      </c>
      <c r="E170" s="13" t="n"/>
      <c r="F170" s="13" t="n"/>
      <c r="G170" s="13" t="n"/>
      <c r="H170" s="14" t="n"/>
      <c r="I170" s="14" t="n"/>
      <c r="J170" s="15">
        <f>IF(AND(H170="",I170=""),"",N(H170)+N(I170))</f>
        <v/>
      </c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4" t="n"/>
      <c r="U170" s="13" t="n"/>
      <c r="V170" s="13" t="n"/>
      <c r="W170" s="13" t="n"/>
      <c r="X170" s="14" t="n"/>
      <c r="Y170" s="13" t="n"/>
      <c r="Z170" s="16" t="n"/>
      <c r="AA170" s="13" t="n"/>
      <c r="AB170" s="13" t="n"/>
      <c r="AC170" s="13" t="n"/>
      <c r="AD170" s="13" t="n"/>
      <c r="AE170" s="13" t="n"/>
    </row>
    <row r="171">
      <c r="A171" s="12" t="n"/>
      <c r="B171" s="8" t="n"/>
      <c r="C171" s="8">
        <f>IFERROR(INDEX($AG171:$GA171,MATCH("職員番号*",$AG$4:$GA$4,0))&amp;"","")</f>
        <v/>
      </c>
      <c r="D171" s="8">
        <f>IFERROR(INDEX($AG171:$GA171,MATCH("氏名*",$AG$4:$GA$4,0))&amp;"","")</f>
        <v/>
      </c>
      <c r="E171" s="13" t="n"/>
      <c r="F171" s="13" t="n"/>
      <c r="G171" s="13" t="n"/>
      <c r="H171" s="14" t="n"/>
      <c r="I171" s="14" t="n"/>
      <c r="J171" s="15">
        <f>IF(AND(H171="",I171=""),"",N(H171)+N(I171))</f>
        <v/>
      </c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4" t="n"/>
      <c r="U171" s="13" t="n"/>
      <c r="V171" s="13" t="n"/>
      <c r="W171" s="13" t="n"/>
      <c r="X171" s="14" t="n"/>
      <c r="Y171" s="13" t="n"/>
      <c r="Z171" s="16" t="n"/>
      <c r="AA171" s="13" t="n"/>
      <c r="AB171" s="13" t="n"/>
      <c r="AC171" s="13" t="n"/>
      <c r="AD171" s="13" t="n"/>
      <c r="AE171" s="13" t="n"/>
    </row>
    <row r="172">
      <c r="A172" s="12" t="n"/>
      <c r="B172" s="8" t="n"/>
      <c r="C172" s="8">
        <f>IFERROR(INDEX($AG172:$GA172,MATCH("職員番号*",$AG$4:$GA$4,0))&amp;"","")</f>
        <v/>
      </c>
      <c r="D172" s="8">
        <f>IFERROR(INDEX($AG172:$GA172,MATCH("氏名*",$AG$4:$GA$4,0))&amp;"","")</f>
        <v/>
      </c>
      <c r="E172" s="13" t="n"/>
      <c r="F172" s="13" t="n"/>
      <c r="G172" s="13" t="n"/>
      <c r="H172" s="14" t="n"/>
      <c r="I172" s="14" t="n"/>
      <c r="J172" s="15">
        <f>IF(AND(H172="",I172=""),"",N(H172)+N(I172))</f>
        <v/>
      </c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4" t="n"/>
      <c r="U172" s="13" t="n"/>
      <c r="V172" s="13" t="n"/>
      <c r="W172" s="13" t="n"/>
      <c r="X172" s="14" t="n"/>
      <c r="Y172" s="13" t="n"/>
      <c r="Z172" s="16" t="n"/>
      <c r="AA172" s="13" t="n"/>
      <c r="AB172" s="13" t="n"/>
      <c r="AC172" s="13" t="n"/>
      <c r="AD172" s="13" t="n"/>
      <c r="AE172" s="13" t="n"/>
    </row>
    <row r="173">
      <c r="A173" s="12" t="n"/>
      <c r="B173" s="8" t="n"/>
      <c r="C173" s="8">
        <f>IFERROR(INDEX($AG173:$GA173,MATCH("職員番号*",$AG$4:$GA$4,0))&amp;"","")</f>
        <v/>
      </c>
      <c r="D173" s="8">
        <f>IFERROR(INDEX($AG173:$GA173,MATCH("氏名*",$AG$4:$GA$4,0))&amp;"","")</f>
        <v/>
      </c>
      <c r="E173" s="13" t="n"/>
      <c r="F173" s="13" t="n"/>
      <c r="G173" s="13" t="n"/>
      <c r="H173" s="14" t="n"/>
      <c r="I173" s="14" t="n"/>
      <c r="J173" s="15">
        <f>IF(AND(H173="",I173=""),"",N(H173)+N(I173))</f>
        <v/>
      </c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4" t="n"/>
      <c r="U173" s="13" t="n"/>
      <c r="V173" s="13" t="n"/>
      <c r="W173" s="13" t="n"/>
      <c r="X173" s="14" t="n"/>
      <c r="Y173" s="13" t="n"/>
      <c r="Z173" s="16" t="n"/>
      <c r="AA173" s="13" t="n"/>
      <c r="AB173" s="13" t="n"/>
      <c r="AC173" s="13" t="n"/>
      <c r="AD173" s="13" t="n"/>
      <c r="AE173" s="13" t="n"/>
    </row>
    <row r="174">
      <c r="A174" s="12" t="n"/>
      <c r="B174" s="8" t="n"/>
      <c r="C174" s="8">
        <f>IFERROR(INDEX($AG174:$GA174,MATCH("職員番号*",$AG$4:$GA$4,0))&amp;"","")</f>
        <v/>
      </c>
      <c r="D174" s="8">
        <f>IFERROR(INDEX($AG174:$GA174,MATCH("氏名*",$AG$4:$GA$4,0))&amp;"","")</f>
        <v/>
      </c>
      <c r="E174" s="13" t="n"/>
      <c r="F174" s="13" t="n"/>
      <c r="G174" s="13" t="n"/>
      <c r="H174" s="14" t="n"/>
      <c r="I174" s="14" t="n"/>
      <c r="J174" s="15">
        <f>IF(AND(H174="",I174=""),"",N(H174)+N(I174))</f>
        <v/>
      </c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4" t="n"/>
      <c r="U174" s="13" t="n"/>
      <c r="V174" s="13" t="n"/>
      <c r="W174" s="13" t="n"/>
      <c r="X174" s="14" t="n"/>
      <c r="Y174" s="13" t="n"/>
      <c r="Z174" s="16" t="n"/>
      <c r="AA174" s="13" t="n"/>
      <c r="AB174" s="13" t="n"/>
      <c r="AC174" s="13" t="n"/>
      <c r="AD174" s="13" t="n"/>
      <c r="AE174" s="13" t="n"/>
    </row>
    <row r="175">
      <c r="A175" s="12" t="n"/>
      <c r="B175" s="8" t="n"/>
      <c r="C175" s="8">
        <f>IFERROR(INDEX($AG175:$GA175,MATCH("職員番号*",$AG$4:$GA$4,0))&amp;"","")</f>
        <v/>
      </c>
      <c r="D175" s="8">
        <f>IFERROR(INDEX($AG175:$GA175,MATCH("氏名*",$AG$4:$GA$4,0))&amp;"","")</f>
        <v/>
      </c>
      <c r="E175" s="13" t="n"/>
      <c r="F175" s="13" t="n"/>
      <c r="G175" s="13" t="n"/>
      <c r="H175" s="14" t="n"/>
      <c r="I175" s="14" t="n"/>
      <c r="J175" s="15">
        <f>IF(AND(H175="",I175=""),"",N(H175)+N(I175))</f>
        <v/>
      </c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4" t="n"/>
      <c r="U175" s="13" t="n"/>
      <c r="V175" s="13" t="n"/>
      <c r="W175" s="13" t="n"/>
      <c r="X175" s="14" t="n"/>
      <c r="Y175" s="13" t="n"/>
      <c r="Z175" s="16" t="n"/>
      <c r="AA175" s="13" t="n"/>
      <c r="AB175" s="13" t="n"/>
      <c r="AC175" s="13" t="n"/>
      <c r="AD175" s="13" t="n"/>
      <c r="AE175" s="13" t="n"/>
    </row>
    <row r="176">
      <c r="A176" s="12" t="n"/>
      <c r="B176" s="8" t="n"/>
      <c r="C176" s="8">
        <f>IFERROR(INDEX($AG176:$GA176,MATCH("職員番号*",$AG$4:$GA$4,0))&amp;"","")</f>
        <v/>
      </c>
      <c r="D176" s="8">
        <f>IFERROR(INDEX($AG176:$GA176,MATCH("氏名*",$AG$4:$GA$4,0))&amp;"","")</f>
        <v/>
      </c>
      <c r="E176" s="13" t="n"/>
      <c r="F176" s="13" t="n"/>
      <c r="G176" s="13" t="n"/>
      <c r="H176" s="14" t="n"/>
      <c r="I176" s="14" t="n"/>
      <c r="J176" s="15">
        <f>IF(AND(H176="",I176=""),"",N(H176)+N(I176))</f>
        <v/>
      </c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4" t="n"/>
      <c r="U176" s="13" t="n"/>
      <c r="V176" s="13" t="n"/>
      <c r="W176" s="13" t="n"/>
      <c r="X176" s="14" t="n"/>
      <c r="Y176" s="13" t="n"/>
      <c r="Z176" s="16" t="n"/>
      <c r="AA176" s="13" t="n"/>
      <c r="AB176" s="13" t="n"/>
      <c r="AC176" s="13" t="n"/>
      <c r="AD176" s="13" t="n"/>
      <c r="AE176" s="13" t="n"/>
    </row>
    <row r="177">
      <c r="A177" s="12" t="n"/>
      <c r="B177" s="8" t="n"/>
      <c r="C177" s="8">
        <f>IFERROR(INDEX($AG177:$GA177,MATCH("職員番号*",$AG$4:$GA$4,0))&amp;"","")</f>
        <v/>
      </c>
      <c r="D177" s="8">
        <f>IFERROR(INDEX($AG177:$GA177,MATCH("氏名*",$AG$4:$GA$4,0))&amp;"","")</f>
        <v/>
      </c>
      <c r="E177" s="13" t="n"/>
      <c r="F177" s="13" t="n"/>
      <c r="G177" s="13" t="n"/>
      <c r="H177" s="14" t="n"/>
      <c r="I177" s="14" t="n"/>
      <c r="J177" s="15">
        <f>IF(AND(H177="",I177=""),"",N(H177)+N(I177))</f>
        <v/>
      </c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4" t="n"/>
      <c r="U177" s="13" t="n"/>
      <c r="V177" s="13" t="n"/>
      <c r="W177" s="13" t="n"/>
      <c r="X177" s="14" t="n"/>
      <c r="Y177" s="13" t="n"/>
      <c r="Z177" s="16" t="n"/>
      <c r="AA177" s="13" t="n"/>
      <c r="AB177" s="13" t="n"/>
      <c r="AC177" s="13" t="n"/>
      <c r="AD177" s="13" t="n"/>
      <c r="AE177" s="13" t="n"/>
    </row>
    <row r="178">
      <c r="A178" s="12" t="n"/>
      <c r="B178" s="8" t="n"/>
      <c r="C178" s="8">
        <f>IFERROR(INDEX($AG178:$GA178,MATCH("職員番号*",$AG$4:$GA$4,0))&amp;"","")</f>
        <v/>
      </c>
      <c r="D178" s="8">
        <f>IFERROR(INDEX($AG178:$GA178,MATCH("氏名*",$AG$4:$GA$4,0))&amp;"","")</f>
        <v/>
      </c>
      <c r="E178" s="13" t="n"/>
      <c r="F178" s="13" t="n"/>
      <c r="G178" s="13" t="n"/>
      <c r="H178" s="14" t="n"/>
      <c r="I178" s="14" t="n"/>
      <c r="J178" s="15">
        <f>IF(AND(H178="",I178=""),"",N(H178)+N(I178))</f>
        <v/>
      </c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4" t="n"/>
      <c r="U178" s="13" t="n"/>
      <c r="V178" s="13" t="n"/>
      <c r="W178" s="13" t="n"/>
      <c r="X178" s="14" t="n"/>
      <c r="Y178" s="13" t="n"/>
      <c r="Z178" s="16" t="n"/>
      <c r="AA178" s="13" t="n"/>
      <c r="AB178" s="13" t="n"/>
      <c r="AC178" s="13" t="n"/>
      <c r="AD178" s="13" t="n"/>
      <c r="AE178" s="13" t="n"/>
    </row>
    <row r="179">
      <c r="A179" s="12" t="n"/>
      <c r="B179" s="8" t="n"/>
      <c r="C179" s="8">
        <f>IFERROR(INDEX($AG179:$GA179,MATCH("職員番号*",$AG$4:$GA$4,0))&amp;"","")</f>
        <v/>
      </c>
      <c r="D179" s="8">
        <f>IFERROR(INDEX($AG179:$GA179,MATCH("氏名*",$AG$4:$GA$4,0))&amp;"","")</f>
        <v/>
      </c>
      <c r="E179" s="13" t="n"/>
      <c r="F179" s="13" t="n"/>
      <c r="G179" s="13" t="n"/>
      <c r="H179" s="14" t="n"/>
      <c r="I179" s="14" t="n"/>
      <c r="J179" s="15">
        <f>IF(AND(H179="",I179=""),"",N(H179)+N(I179))</f>
        <v/>
      </c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4" t="n"/>
      <c r="U179" s="13" t="n"/>
      <c r="V179" s="13" t="n"/>
      <c r="W179" s="13" t="n"/>
      <c r="X179" s="14" t="n"/>
      <c r="Y179" s="13" t="n"/>
      <c r="Z179" s="16" t="n"/>
      <c r="AA179" s="13" t="n"/>
      <c r="AB179" s="13" t="n"/>
      <c r="AC179" s="13" t="n"/>
      <c r="AD179" s="13" t="n"/>
      <c r="AE179" s="13" t="n"/>
    </row>
    <row r="180">
      <c r="A180" s="12" t="n"/>
      <c r="B180" s="8" t="n"/>
      <c r="C180" s="8">
        <f>IFERROR(INDEX($AG180:$GA180,MATCH("職員番号*",$AG$4:$GA$4,0))&amp;"","")</f>
        <v/>
      </c>
      <c r="D180" s="8">
        <f>IFERROR(INDEX($AG180:$GA180,MATCH("氏名*",$AG$4:$GA$4,0))&amp;"","")</f>
        <v/>
      </c>
      <c r="E180" s="13" t="n"/>
      <c r="F180" s="13" t="n"/>
      <c r="G180" s="13" t="n"/>
      <c r="H180" s="14" t="n"/>
      <c r="I180" s="14" t="n"/>
      <c r="J180" s="15">
        <f>IF(AND(H180="",I180=""),"",N(H180)+N(I180))</f>
        <v/>
      </c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4" t="n"/>
      <c r="U180" s="13" t="n"/>
      <c r="V180" s="13" t="n"/>
      <c r="W180" s="13" t="n"/>
      <c r="X180" s="14" t="n"/>
      <c r="Y180" s="13" t="n"/>
      <c r="Z180" s="16" t="n"/>
      <c r="AA180" s="13" t="n"/>
      <c r="AB180" s="13" t="n"/>
      <c r="AC180" s="13" t="n"/>
      <c r="AD180" s="13" t="n"/>
      <c r="AE180" s="13" t="n"/>
    </row>
    <row r="181">
      <c r="A181" s="12" t="n"/>
      <c r="B181" s="8" t="n"/>
      <c r="C181" s="8">
        <f>IFERROR(INDEX($AG181:$GA181,MATCH("職員番号*",$AG$4:$GA$4,0))&amp;"","")</f>
        <v/>
      </c>
      <c r="D181" s="8">
        <f>IFERROR(INDEX($AG181:$GA181,MATCH("氏名*",$AG$4:$GA$4,0))&amp;"","")</f>
        <v/>
      </c>
      <c r="E181" s="13" t="n"/>
      <c r="F181" s="13" t="n"/>
      <c r="G181" s="13" t="n"/>
      <c r="H181" s="14" t="n"/>
      <c r="I181" s="14" t="n"/>
      <c r="J181" s="15">
        <f>IF(AND(H181="",I181=""),"",N(H181)+N(I181))</f>
        <v/>
      </c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4" t="n"/>
      <c r="U181" s="13" t="n"/>
      <c r="V181" s="13" t="n"/>
      <c r="W181" s="13" t="n"/>
      <c r="X181" s="14" t="n"/>
      <c r="Y181" s="13" t="n"/>
      <c r="Z181" s="16" t="n"/>
      <c r="AA181" s="13" t="n"/>
      <c r="AB181" s="13" t="n"/>
      <c r="AC181" s="13" t="n"/>
      <c r="AD181" s="13" t="n"/>
      <c r="AE181" s="13" t="n"/>
    </row>
    <row r="182">
      <c r="A182" s="12" t="n"/>
      <c r="B182" s="8" t="n"/>
      <c r="C182" s="8">
        <f>IFERROR(INDEX($AG182:$GA182,MATCH("職員番号*",$AG$4:$GA$4,0))&amp;"","")</f>
        <v/>
      </c>
      <c r="D182" s="8">
        <f>IFERROR(INDEX($AG182:$GA182,MATCH("氏名*",$AG$4:$GA$4,0))&amp;"","")</f>
        <v/>
      </c>
      <c r="E182" s="13" t="n"/>
      <c r="F182" s="13" t="n"/>
      <c r="G182" s="13" t="n"/>
      <c r="H182" s="14" t="n"/>
      <c r="I182" s="14" t="n"/>
      <c r="J182" s="15">
        <f>IF(AND(H182="",I182=""),"",N(H182)+N(I182))</f>
        <v/>
      </c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4" t="n"/>
      <c r="U182" s="13" t="n"/>
      <c r="V182" s="13" t="n"/>
      <c r="W182" s="13" t="n"/>
      <c r="X182" s="14" t="n"/>
      <c r="Y182" s="13" t="n"/>
      <c r="Z182" s="16" t="n"/>
      <c r="AA182" s="13" t="n"/>
      <c r="AB182" s="13" t="n"/>
      <c r="AC182" s="13" t="n"/>
      <c r="AD182" s="13" t="n"/>
      <c r="AE182" s="13" t="n"/>
    </row>
    <row r="183">
      <c r="A183" s="12" t="n"/>
      <c r="B183" s="8" t="n"/>
      <c r="C183" s="8">
        <f>IFERROR(INDEX($AG183:$GA183,MATCH("職員番号*",$AG$4:$GA$4,0))&amp;"","")</f>
        <v/>
      </c>
      <c r="D183" s="8">
        <f>IFERROR(INDEX($AG183:$GA183,MATCH("氏名*",$AG$4:$GA$4,0))&amp;"","")</f>
        <v/>
      </c>
      <c r="E183" s="13" t="n"/>
      <c r="F183" s="13" t="n"/>
      <c r="G183" s="13" t="n"/>
      <c r="H183" s="14" t="n"/>
      <c r="I183" s="14" t="n"/>
      <c r="J183" s="15">
        <f>IF(AND(H183="",I183=""),"",N(H183)+N(I183))</f>
        <v/>
      </c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4" t="n"/>
      <c r="U183" s="13" t="n"/>
      <c r="V183" s="13" t="n"/>
      <c r="W183" s="13" t="n"/>
      <c r="X183" s="14" t="n"/>
      <c r="Y183" s="13" t="n"/>
      <c r="Z183" s="16" t="n"/>
      <c r="AA183" s="13" t="n"/>
      <c r="AB183" s="13" t="n"/>
      <c r="AC183" s="13" t="n"/>
      <c r="AD183" s="13" t="n"/>
      <c r="AE183" s="13" t="n"/>
    </row>
    <row r="184">
      <c r="A184" s="12" t="n"/>
      <c r="B184" s="8" t="n"/>
      <c r="C184" s="8">
        <f>IFERROR(INDEX($AG184:$GA184,MATCH("職員番号*",$AG$4:$GA$4,0))&amp;"","")</f>
        <v/>
      </c>
      <c r="D184" s="8">
        <f>IFERROR(INDEX($AG184:$GA184,MATCH("氏名*",$AG$4:$GA$4,0))&amp;"","")</f>
        <v/>
      </c>
      <c r="E184" s="13" t="n"/>
      <c r="F184" s="13" t="n"/>
      <c r="G184" s="13" t="n"/>
      <c r="H184" s="14" t="n"/>
      <c r="I184" s="14" t="n"/>
      <c r="J184" s="15">
        <f>IF(AND(H184="",I184=""),"",N(H184)+N(I184))</f>
        <v/>
      </c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4" t="n"/>
      <c r="U184" s="13" t="n"/>
      <c r="V184" s="13" t="n"/>
      <c r="W184" s="13" t="n"/>
      <c r="X184" s="14" t="n"/>
      <c r="Y184" s="13" t="n"/>
      <c r="Z184" s="16" t="n"/>
      <c r="AA184" s="13" t="n"/>
      <c r="AB184" s="13" t="n"/>
      <c r="AC184" s="13" t="n"/>
      <c r="AD184" s="13" t="n"/>
      <c r="AE184" s="13" t="n"/>
    </row>
    <row r="185">
      <c r="A185" s="12" t="n"/>
      <c r="B185" s="8" t="n"/>
      <c r="C185" s="8">
        <f>IFERROR(INDEX($AG185:$GA185,MATCH("職員番号*",$AG$4:$GA$4,0))&amp;"","")</f>
        <v/>
      </c>
      <c r="D185" s="8">
        <f>IFERROR(INDEX($AG185:$GA185,MATCH("氏名*",$AG$4:$GA$4,0))&amp;"","")</f>
        <v/>
      </c>
      <c r="E185" s="13" t="n"/>
      <c r="F185" s="13" t="n"/>
      <c r="G185" s="13" t="n"/>
      <c r="H185" s="14" t="n"/>
      <c r="I185" s="14" t="n"/>
      <c r="J185" s="15">
        <f>IF(AND(H185="",I185=""),"",N(H185)+N(I185))</f>
        <v/>
      </c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4" t="n"/>
      <c r="U185" s="13" t="n"/>
      <c r="V185" s="13" t="n"/>
      <c r="W185" s="13" t="n"/>
      <c r="X185" s="14" t="n"/>
      <c r="Y185" s="13" t="n"/>
      <c r="Z185" s="16" t="n"/>
      <c r="AA185" s="13" t="n"/>
      <c r="AB185" s="13" t="n"/>
      <c r="AC185" s="13" t="n"/>
      <c r="AD185" s="13" t="n"/>
      <c r="AE185" s="13" t="n"/>
    </row>
    <row r="186">
      <c r="A186" s="12" t="n"/>
      <c r="B186" s="8" t="n"/>
      <c r="C186" s="8">
        <f>IFERROR(INDEX($AG186:$GA186,MATCH("職員番号*",$AG$4:$GA$4,0))&amp;"","")</f>
        <v/>
      </c>
      <c r="D186" s="8">
        <f>IFERROR(INDEX($AG186:$GA186,MATCH("氏名*",$AG$4:$GA$4,0))&amp;"","")</f>
        <v/>
      </c>
      <c r="E186" s="13" t="n"/>
      <c r="F186" s="13" t="n"/>
      <c r="G186" s="13" t="n"/>
      <c r="H186" s="14" t="n"/>
      <c r="I186" s="14" t="n"/>
      <c r="J186" s="15">
        <f>IF(AND(H186="",I186=""),"",N(H186)+N(I186))</f>
        <v/>
      </c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4" t="n"/>
      <c r="U186" s="13" t="n"/>
      <c r="V186" s="13" t="n"/>
      <c r="W186" s="13" t="n"/>
      <c r="X186" s="14" t="n"/>
      <c r="Y186" s="13" t="n"/>
      <c r="Z186" s="16" t="n"/>
      <c r="AA186" s="13" t="n"/>
      <c r="AB186" s="13" t="n"/>
      <c r="AC186" s="13" t="n"/>
      <c r="AD186" s="13" t="n"/>
      <c r="AE186" s="13" t="n"/>
    </row>
    <row r="187">
      <c r="A187" s="12" t="n"/>
      <c r="B187" s="8" t="n"/>
      <c r="C187" s="8">
        <f>IFERROR(INDEX($AG187:$GA187,MATCH("職員番号*",$AG$4:$GA$4,0))&amp;"","")</f>
        <v/>
      </c>
      <c r="D187" s="8">
        <f>IFERROR(INDEX($AG187:$GA187,MATCH("氏名*",$AG$4:$GA$4,0))&amp;"","")</f>
        <v/>
      </c>
      <c r="E187" s="13" t="n"/>
      <c r="F187" s="13" t="n"/>
      <c r="G187" s="13" t="n"/>
      <c r="H187" s="14" t="n"/>
      <c r="I187" s="14" t="n"/>
      <c r="J187" s="15">
        <f>IF(AND(H187="",I187=""),"",N(H187)+N(I187))</f>
        <v/>
      </c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4" t="n"/>
      <c r="U187" s="13" t="n"/>
      <c r="V187" s="13" t="n"/>
      <c r="W187" s="13" t="n"/>
      <c r="X187" s="14" t="n"/>
      <c r="Y187" s="13" t="n"/>
      <c r="Z187" s="16" t="n"/>
      <c r="AA187" s="13" t="n"/>
      <c r="AB187" s="13" t="n"/>
      <c r="AC187" s="13" t="n"/>
      <c r="AD187" s="13" t="n"/>
      <c r="AE187" s="13" t="n"/>
    </row>
    <row r="188">
      <c r="A188" s="12" t="n"/>
      <c r="B188" s="8" t="n"/>
      <c r="C188" s="8">
        <f>IFERROR(INDEX($AG188:$GA188,MATCH("職員番号*",$AG$4:$GA$4,0))&amp;"","")</f>
        <v/>
      </c>
      <c r="D188" s="8">
        <f>IFERROR(INDEX($AG188:$GA188,MATCH("氏名*",$AG$4:$GA$4,0))&amp;"","")</f>
        <v/>
      </c>
      <c r="E188" s="13" t="n"/>
      <c r="F188" s="13" t="n"/>
      <c r="G188" s="13" t="n"/>
      <c r="H188" s="14" t="n"/>
      <c r="I188" s="14" t="n"/>
      <c r="J188" s="15">
        <f>IF(AND(H188="",I188=""),"",N(H188)+N(I188))</f>
        <v/>
      </c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4" t="n"/>
      <c r="U188" s="13" t="n"/>
      <c r="V188" s="13" t="n"/>
      <c r="W188" s="13" t="n"/>
      <c r="X188" s="14" t="n"/>
      <c r="Y188" s="13" t="n"/>
      <c r="Z188" s="16" t="n"/>
      <c r="AA188" s="13" t="n"/>
      <c r="AB188" s="13" t="n"/>
      <c r="AC188" s="13" t="n"/>
      <c r="AD188" s="13" t="n"/>
      <c r="AE188" s="13" t="n"/>
    </row>
    <row r="189">
      <c r="A189" s="12" t="n"/>
      <c r="B189" s="8" t="n"/>
      <c r="C189" s="8">
        <f>IFERROR(INDEX($AG189:$GA189,MATCH("職員番号*",$AG$4:$GA$4,0))&amp;"","")</f>
        <v/>
      </c>
      <c r="D189" s="8">
        <f>IFERROR(INDEX($AG189:$GA189,MATCH("氏名*",$AG$4:$GA$4,0))&amp;"","")</f>
        <v/>
      </c>
      <c r="E189" s="13" t="n"/>
      <c r="F189" s="13" t="n"/>
      <c r="G189" s="13" t="n"/>
      <c r="H189" s="14" t="n"/>
      <c r="I189" s="14" t="n"/>
      <c r="J189" s="15">
        <f>IF(AND(H189="",I189=""),"",N(H189)+N(I189))</f>
        <v/>
      </c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4" t="n"/>
      <c r="U189" s="13" t="n"/>
      <c r="V189" s="13" t="n"/>
      <c r="W189" s="13" t="n"/>
      <c r="X189" s="14" t="n"/>
      <c r="Y189" s="13" t="n"/>
      <c r="Z189" s="16" t="n"/>
      <c r="AA189" s="13" t="n"/>
      <c r="AB189" s="13" t="n"/>
      <c r="AC189" s="13" t="n"/>
      <c r="AD189" s="13" t="n"/>
      <c r="AE189" s="13" t="n"/>
    </row>
    <row r="190">
      <c r="A190" s="12" t="n"/>
      <c r="B190" s="8" t="n"/>
      <c r="C190" s="8">
        <f>IFERROR(INDEX($AG190:$GA190,MATCH("職員番号*",$AG$4:$GA$4,0))&amp;"","")</f>
        <v/>
      </c>
      <c r="D190" s="8">
        <f>IFERROR(INDEX($AG190:$GA190,MATCH("氏名*",$AG$4:$GA$4,0))&amp;"","")</f>
        <v/>
      </c>
      <c r="E190" s="13" t="n"/>
      <c r="F190" s="13" t="n"/>
      <c r="G190" s="13" t="n"/>
      <c r="H190" s="14" t="n"/>
      <c r="I190" s="14" t="n"/>
      <c r="J190" s="15">
        <f>IF(AND(H190="",I190=""),"",N(H190)+N(I190))</f>
        <v/>
      </c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4" t="n"/>
      <c r="U190" s="13" t="n"/>
      <c r="V190" s="13" t="n"/>
      <c r="W190" s="13" t="n"/>
      <c r="X190" s="14" t="n"/>
      <c r="Y190" s="13" t="n"/>
      <c r="Z190" s="16" t="n"/>
      <c r="AA190" s="13" t="n"/>
      <c r="AB190" s="13" t="n"/>
      <c r="AC190" s="13" t="n"/>
      <c r="AD190" s="13" t="n"/>
      <c r="AE190" s="13" t="n"/>
    </row>
    <row r="191">
      <c r="A191" s="12" t="n"/>
      <c r="B191" s="8" t="n"/>
      <c r="C191" s="8">
        <f>IFERROR(INDEX($AG191:$GA191,MATCH("職員番号*",$AG$4:$GA$4,0))&amp;"","")</f>
        <v/>
      </c>
      <c r="D191" s="8">
        <f>IFERROR(INDEX($AG191:$GA191,MATCH("氏名*",$AG$4:$GA$4,0))&amp;"","")</f>
        <v/>
      </c>
      <c r="E191" s="13" t="n"/>
      <c r="F191" s="13" t="n"/>
      <c r="G191" s="13" t="n"/>
      <c r="H191" s="14" t="n"/>
      <c r="I191" s="14" t="n"/>
      <c r="J191" s="15">
        <f>IF(AND(H191="",I191=""),"",N(H191)+N(I191))</f>
        <v/>
      </c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4" t="n"/>
      <c r="U191" s="13" t="n"/>
      <c r="V191" s="13" t="n"/>
      <c r="W191" s="13" t="n"/>
      <c r="X191" s="14" t="n"/>
      <c r="Y191" s="13" t="n"/>
      <c r="Z191" s="16" t="n"/>
      <c r="AA191" s="13" t="n"/>
      <c r="AB191" s="13" t="n"/>
      <c r="AC191" s="13" t="n"/>
      <c r="AD191" s="13" t="n"/>
      <c r="AE191" s="13" t="n"/>
    </row>
    <row r="192">
      <c r="A192" s="12" t="n"/>
      <c r="B192" s="8" t="n"/>
      <c r="C192" s="8">
        <f>IFERROR(INDEX($AG192:$GA192,MATCH("職員番号*",$AG$4:$GA$4,0))&amp;"","")</f>
        <v/>
      </c>
      <c r="D192" s="8">
        <f>IFERROR(INDEX($AG192:$GA192,MATCH("氏名*",$AG$4:$GA$4,0))&amp;"","")</f>
        <v/>
      </c>
      <c r="E192" s="13" t="n"/>
      <c r="F192" s="13" t="n"/>
      <c r="G192" s="13" t="n"/>
      <c r="H192" s="14" t="n"/>
      <c r="I192" s="14" t="n"/>
      <c r="J192" s="15">
        <f>IF(AND(H192="",I192=""),"",N(H192)+N(I192))</f>
        <v/>
      </c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4" t="n"/>
      <c r="U192" s="13" t="n"/>
      <c r="V192" s="13" t="n"/>
      <c r="W192" s="13" t="n"/>
      <c r="X192" s="14" t="n"/>
      <c r="Y192" s="13" t="n"/>
      <c r="Z192" s="16" t="n"/>
      <c r="AA192" s="13" t="n"/>
      <c r="AB192" s="13" t="n"/>
      <c r="AC192" s="13" t="n"/>
      <c r="AD192" s="13" t="n"/>
      <c r="AE192" s="13" t="n"/>
    </row>
    <row r="193">
      <c r="A193" s="12" t="n"/>
      <c r="B193" s="8" t="n"/>
      <c r="C193" s="8">
        <f>IFERROR(INDEX($AG193:$GA193,MATCH("職員番号*",$AG$4:$GA$4,0))&amp;"","")</f>
        <v/>
      </c>
      <c r="D193" s="8">
        <f>IFERROR(INDEX($AG193:$GA193,MATCH("氏名*",$AG$4:$GA$4,0))&amp;"","")</f>
        <v/>
      </c>
      <c r="E193" s="13" t="n"/>
      <c r="F193" s="13" t="n"/>
      <c r="G193" s="13" t="n"/>
      <c r="H193" s="14" t="n"/>
      <c r="I193" s="14" t="n"/>
      <c r="J193" s="15">
        <f>IF(AND(H193="",I193=""),"",N(H193)+N(I193))</f>
        <v/>
      </c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4" t="n"/>
      <c r="U193" s="13" t="n"/>
      <c r="V193" s="13" t="n"/>
      <c r="W193" s="13" t="n"/>
      <c r="X193" s="14" t="n"/>
      <c r="Y193" s="13" t="n"/>
      <c r="Z193" s="16" t="n"/>
      <c r="AA193" s="13" t="n"/>
      <c r="AB193" s="13" t="n"/>
      <c r="AC193" s="13" t="n"/>
      <c r="AD193" s="13" t="n"/>
      <c r="AE193" s="13" t="n"/>
    </row>
    <row r="194">
      <c r="A194" s="12" t="n"/>
      <c r="B194" s="8" t="n"/>
      <c r="C194" s="8">
        <f>IFERROR(INDEX($AG194:$GA194,MATCH("職員番号*",$AG$4:$GA$4,0))&amp;"","")</f>
        <v/>
      </c>
      <c r="D194" s="8">
        <f>IFERROR(INDEX($AG194:$GA194,MATCH("氏名*",$AG$4:$GA$4,0))&amp;"","")</f>
        <v/>
      </c>
      <c r="E194" s="13" t="n"/>
      <c r="F194" s="13" t="n"/>
      <c r="G194" s="13" t="n"/>
      <c r="H194" s="14" t="n"/>
      <c r="I194" s="14" t="n"/>
      <c r="J194" s="15">
        <f>IF(AND(H194="",I194=""),"",N(H194)+N(I194))</f>
        <v/>
      </c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4" t="n"/>
      <c r="U194" s="13" t="n"/>
      <c r="V194" s="13" t="n"/>
      <c r="W194" s="13" t="n"/>
      <c r="X194" s="14" t="n"/>
      <c r="Y194" s="13" t="n"/>
      <c r="Z194" s="16" t="n"/>
      <c r="AA194" s="13" t="n"/>
      <c r="AB194" s="13" t="n"/>
      <c r="AC194" s="13" t="n"/>
      <c r="AD194" s="13" t="n"/>
      <c r="AE194" s="13" t="n"/>
    </row>
    <row r="195">
      <c r="A195" s="12" t="n"/>
      <c r="B195" s="8" t="n"/>
      <c r="C195" s="8">
        <f>IFERROR(INDEX($AG195:$GA195,MATCH("職員番号*",$AG$4:$GA$4,0))&amp;"","")</f>
        <v/>
      </c>
      <c r="D195" s="8">
        <f>IFERROR(INDEX($AG195:$GA195,MATCH("氏名*",$AG$4:$GA$4,0))&amp;"","")</f>
        <v/>
      </c>
      <c r="E195" s="13" t="n"/>
      <c r="F195" s="13" t="n"/>
      <c r="G195" s="13" t="n"/>
      <c r="H195" s="14" t="n"/>
      <c r="I195" s="14" t="n"/>
      <c r="J195" s="15">
        <f>IF(AND(H195="",I195=""),"",N(H195)+N(I195))</f>
        <v/>
      </c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4" t="n"/>
      <c r="U195" s="13" t="n"/>
      <c r="V195" s="13" t="n"/>
      <c r="W195" s="13" t="n"/>
      <c r="X195" s="14" t="n"/>
      <c r="Y195" s="13" t="n"/>
      <c r="Z195" s="16" t="n"/>
      <c r="AA195" s="13" t="n"/>
      <c r="AB195" s="13" t="n"/>
      <c r="AC195" s="13" t="n"/>
      <c r="AD195" s="13" t="n"/>
      <c r="AE195" s="13" t="n"/>
    </row>
    <row r="196">
      <c r="A196" s="12" t="n"/>
      <c r="B196" s="8" t="n"/>
      <c r="C196" s="8">
        <f>IFERROR(INDEX($AG196:$GA196,MATCH("職員番号*",$AG$4:$GA$4,0))&amp;"","")</f>
        <v/>
      </c>
      <c r="D196" s="8">
        <f>IFERROR(INDEX($AG196:$GA196,MATCH("氏名*",$AG$4:$GA$4,0))&amp;"","")</f>
        <v/>
      </c>
      <c r="E196" s="13" t="n"/>
      <c r="F196" s="13" t="n"/>
      <c r="G196" s="13" t="n"/>
      <c r="H196" s="14" t="n"/>
      <c r="I196" s="14" t="n"/>
      <c r="J196" s="15">
        <f>IF(AND(H196="",I196=""),"",N(H196)+N(I196))</f>
        <v/>
      </c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4" t="n"/>
      <c r="U196" s="13" t="n"/>
      <c r="V196" s="13" t="n"/>
      <c r="W196" s="13" t="n"/>
      <c r="X196" s="14" t="n"/>
      <c r="Y196" s="13" t="n"/>
      <c r="Z196" s="16" t="n"/>
      <c r="AA196" s="13" t="n"/>
      <c r="AB196" s="13" t="n"/>
      <c r="AC196" s="13" t="n"/>
      <c r="AD196" s="13" t="n"/>
      <c r="AE196" s="13" t="n"/>
    </row>
    <row r="197">
      <c r="A197" s="12" t="n"/>
      <c r="B197" s="8" t="n"/>
      <c r="C197" s="8">
        <f>IFERROR(INDEX($AG197:$GA197,MATCH("職員番号*",$AG$4:$GA$4,0))&amp;"","")</f>
        <v/>
      </c>
      <c r="D197" s="8">
        <f>IFERROR(INDEX($AG197:$GA197,MATCH("氏名*",$AG$4:$GA$4,0))&amp;"","")</f>
        <v/>
      </c>
      <c r="E197" s="13" t="n"/>
      <c r="F197" s="13" t="n"/>
      <c r="G197" s="13" t="n"/>
      <c r="H197" s="14" t="n"/>
      <c r="I197" s="14" t="n"/>
      <c r="J197" s="15">
        <f>IF(AND(H197="",I197=""),"",N(H197)+N(I197))</f>
        <v/>
      </c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4" t="n"/>
      <c r="U197" s="13" t="n"/>
      <c r="V197" s="13" t="n"/>
      <c r="W197" s="13" t="n"/>
      <c r="X197" s="14" t="n"/>
      <c r="Y197" s="13" t="n"/>
      <c r="Z197" s="16" t="n"/>
      <c r="AA197" s="13" t="n"/>
      <c r="AB197" s="13" t="n"/>
      <c r="AC197" s="13" t="n"/>
      <c r="AD197" s="13" t="n"/>
      <c r="AE197" s="13" t="n"/>
    </row>
    <row r="198">
      <c r="A198" s="12" t="n"/>
      <c r="B198" s="8" t="n"/>
      <c r="C198" s="8">
        <f>IFERROR(INDEX($AG198:$GA198,MATCH("職員番号*",$AG$4:$GA$4,0))&amp;"","")</f>
        <v/>
      </c>
      <c r="D198" s="8">
        <f>IFERROR(INDEX($AG198:$GA198,MATCH("氏名*",$AG$4:$GA$4,0))&amp;"","")</f>
        <v/>
      </c>
      <c r="E198" s="13" t="n"/>
      <c r="F198" s="13" t="n"/>
      <c r="G198" s="13" t="n"/>
      <c r="H198" s="14" t="n"/>
      <c r="I198" s="14" t="n"/>
      <c r="J198" s="15">
        <f>IF(AND(H198="",I198=""),"",N(H198)+N(I198))</f>
        <v/>
      </c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4" t="n"/>
      <c r="U198" s="13" t="n"/>
      <c r="V198" s="13" t="n"/>
      <c r="W198" s="13" t="n"/>
      <c r="X198" s="14" t="n"/>
      <c r="Y198" s="13" t="n"/>
      <c r="Z198" s="16" t="n"/>
      <c r="AA198" s="13" t="n"/>
      <c r="AB198" s="13" t="n"/>
      <c r="AC198" s="13" t="n"/>
      <c r="AD198" s="13" t="n"/>
      <c r="AE198" s="13" t="n"/>
    </row>
    <row r="199">
      <c r="A199" s="12" t="n"/>
      <c r="B199" s="8" t="n"/>
      <c r="C199" s="8">
        <f>IFERROR(INDEX($AG199:$GA199,MATCH("職員番号*",$AG$4:$GA$4,0))&amp;"","")</f>
        <v/>
      </c>
      <c r="D199" s="8">
        <f>IFERROR(INDEX($AG199:$GA199,MATCH("氏名*",$AG$4:$GA$4,0))&amp;"","")</f>
        <v/>
      </c>
      <c r="E199" s="13" t="n"/>
      <c r="F199" s="13" t="n"/>
      <c r="G199" s="13" t="n"/>
      <c r="H199" s="14" t="n"/>
      <c r="I199" s="14" t="n"/>
      <c r="J199" s="15">
        <f>IF(AND(H199="",I199=""),"",N(H199)+N(I199))</f>
        <v/>
      </c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4" t="n"/>
      <c r="U199" s="13" t="n"/>
      <c r="V199" s="13" t="n"/>
      <c r="W199" s="13" t="n"/>
      <c r="X199" s="14" t="n"/>
      <c r="Y199" s="13" t="n"/>
      <c r="Z199" s="16" t="n"/>
      <c r="AA199" s="13" t="n"/>
      <c r="AB199" s="13" t="n"/>
      <c r="AC199" s="13" t="n"/>
      <c r="AD199" s="13" t="n"/>
      <c r="AE199" s="13" t="n"/>
    </row>
    <row r="200">
      <c r="A200" s="12" t="n"/>
      <c r="B200" s="8" t="n"/>
      <c r="C200" s="8">
        <f>IFERROR(INDEX($AG200:$GA200,MATCH("職員番号*",$AG$4:$GA$4,0))&amp;"","")</f>
        <v/>
      </c>
      <c r="D200" s="8">
        <f>IFERROR(INDEX($AG200:$GA200,MATCH("氏名*",$AG$4:$GA$4,0))&amp;"","")</f>
        <v/>
      </c>
      <c r="E200" s="13" t="n"/>
      <c r="F200" s="13" t="n"/>
      <c r="G200" s="13" t="n"/>
      <c r="H200" s="14" t="n"/>
      <c r="I200" s="14" t="n"/>
      <c r="J200" s="15">
        <f>IF(AND(H200="",I200=""),"",N(H200)+N(I200))</f>
        <v/>
      </c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4" t="n"/>
      <c r="U200" s="13" t="n"/>
      <c r="V200" s="13" t="n"/>
      <c r="W200" s="13" t="n"/>
      <c r="X200" s="14" t="n"/>
      <c r="Y200" s="13" t="n"/>
      <c r="Z200" s="16" t="n"/>
      <c r="AA200" s="13" t="n"/>
      <c r="AB200" s="13" t="n"/>
      <c r="AC200" s="13" t="n"/>
      <c r="AD200" s="13" t="n"/>
      <c r="AE200" s="13" t="n"/>
    </row>
    <row r="201">
      <c r="A201" s="12" t="n"/>
      <c r="B201" s="8" t="n"/>
      <c r="C201" s="8">
        <f>IFERROR(INDEX($AG201:$GA201,MATCH("職員番号*",$AG$4:$GA$4,0))&amp;"","")</f>
        <v/>
      </c>
      <c r="D201" s="8">
        <f>IFERROR(INDEX($AG201:$GA201,MATCH("氏名*",$AG$4:$GA$4,0))&amp;"","")</f>
        <v/>
      </c>
      <c r="E201" s="13" t="n"/>
      <c r="F201" s="13" t="n"/>
      <c r="G201" s="13" t="n"/>
      <c r="H201" s="14" t="n"/>
      <c r="I201" s="14" t="n"/>
      <c r="J201" s="15">
        <f>IF(AND(H201="",I201=""),"",N(H201)+N(I201))</f>
        <v/>
      </c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4" t="n"/>
      <c r="U201" s="13" t="n"/>
      <c r="V201" s="13" t="n"/>
      <c r="W201" s="13" t="n"/>
      <c r="X201" s="14" t="n"/>
      <c r="Y201" s="13" t="n"/>
      <c r="Z201" s="16" t="n"/>
      <c r="AA201" s="13" t="n"/>
      <c r="AB201" s="13" t="n"/>
      <c r="AC201" s="13" t="n"/>
      <c r="AD201" s="13" t="n"/>
      <c r="AE201" s="13" t="n"/>
    </row>
    <row r="202">
      <c r="A202" s="12" t="n"/>
      <c r="B202" s="8" t="n"/>
      <c r="C202" s="8">
        <f>IFERROR(INDEX($AG202:$GA202,MATCH("職員番号*",$AG$4:$GA$4,0))&amp;"","")</f>
        <v/>
      </c>
      <c r="D202" s="8">
        <f>IFERROR(INDEX($AG202:$GA202,MATCH("氏名*",$AG$4:$GA$4,0))&amp;"","")</f>
        <v/>
      </c>
      <c r="E202" s="13" t="n"/>
      <c r="F202" s="13" t="n"/>
      <c r="G202" s="13" t="n"/>
      <c r="H202" s="14" t="n"/>
      <c r="I202" s="14" t="n"/>
      <c r="J202" s="15">
        <f>IF(AND(H202="",I202=""),"",N(H202)+N(I202))</f>
        <v/>
      </c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4" t="n"/>
      <c r="U202" s="13" t="n"/>
      <c r="V202" s="13" t="n"/>
      <c r="W202" s="13" t="n"/>
      <c r="X202" s="14" t="n"/>
      <c r="Y202" s="13" t="n"/>
      <c r="Z202" s="16" t="n"/>
      <c r="AA202" s="13" t="n"/>
      <c r="AB202" s="13" t="n"/>
      <c r="AC202" s="13" t="n"/>
      <c r="AD202" s="13" t="n"/>
      <c r="AE202" s="13" t="n"/>
    </row>
    <row r="203">
      <c r="A203" s="12" t="n"/>
      <c r="B203" s="8" t="n"/>
      <c r="C203" s="8">
        <f>IFERROR(INDEX($AG203:$GA203,MATCH("職員番号*",$AG$4:$GA$4,0))&amp;"","")</f>
        <v/>
      </c>
      <c r="D203" s="8">
        <f>IFERROR(INDEX($AG203:$GA203,MATCH("氏名*",$AG$4:$GA$4,0))&amp;"","")</f>
        <v/>
      </c>
      <c r="E203" s="13" t="n"/>
      <c r="F203" s="13" t="n"/>
      <c r="G203" s="13" t="n"/>
      <c r="H203" s="14" t="n"/>
      <c r="I203" s="14" t="n"/>
      <c r="J203" s="15">
        <f>IF(AND(H203="",I203=""),"",N(H203)+N(I203))</f>
        <v/>
      </c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4" t="n"/>
      <c r="U203" s="13" t="n"/>
      <c r="V203" s="13" t="n"/>
      <c r="W203" s="13" t="n"/>
      <c r="X203" s="14" t="n"/>
      <c r="Y203" s="13" t="n"/>
      <c r="Z203" s="16" t="n"/>
      <c r="AA203" s="13" t="n"/>
      <c r="AB203" s="13" t="n"/>
      <c r="AC203" s="13" t="n"/>
      <c r="AD203" s="13" t="n"/>
      <c r="AE203" s="13" t="n"/>
    </row>
    <row r="204">
      <c r="A204" s="12" t="n"/>
      <c r="B204" s="8" t="n"/>
      <c r="C204" s="8">
        <f>IFERROR(INDEX($AG204:$GA204,MATCH("職員番号*",$AG$4:$GA$4,0))&amp;"","")</f>
        <v/>
      </c>
      <c r="D204" s="8">
        <f>IFERROR(INDEX($AG204:$GA204,MATCH("氏名*",$AG$4:$GA$4,0))&amp;"","")</f>
        <v/>
      </c>
      <c r="E204" s="13" t="n"/>
      <c r="F204" s="13" t="n"/>
      <c r="G204" s="13" t="n"/>
      <c r="H204" s="14" t="n"/>
      <c r="I204" s="14" t="n"/>
      <c r="J204" s="15">
        <f>IF(AND(H204="",I204=""),"",N(H204)+N(I204))</f>
        <v/>
      </c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4" t="n"/>
      <c r="U204" s="13" t="n"/>
      <c r="V204" s="13" t="n"/>
      <c r="W204" s="13" t="n"/>
      <c r="X204" s="14" t="n"/>
      <c r="Y204" s="13" t="n"/>
      <c r="Z204" s="16" t="n"/>
      <c r="AA204" s="13" t="n"/>
      <c r="AB204" s="13" t="n"/>
      <c r="AC204" s="13" t="n"/>
      <c r="AD204" s="13" t="n"/>
      <c r="AE204" s="13" t="n"/>
    </row>
  </sheetData>
  <mergeCells count="3">
    <mergeCell ref="E3:AE3"/>
    <mergeCell ref="AG3:CV3"/>
    <mergeCell ref="A3:D3"/>
  </mergeCells>
  <dataValidations count="14">
    <dataValidation sqref="A5:A204" showDropDown="0" showInputMessage="0" showErrorMessage="0" allowBlank="1" errorTitle="入力できない値です" error="一覧から選んでください" type="list">
      <formula1>"○"</formula1>
    </dataValidation>
    <dataValidation sqref="E5:E204" showDropDown="0" showInputMessage="0" showErrorMessage="0" allowBlank="1" errorTitle="入力できない値です" error="一覧から選んでください" type="list">
      <formula1>"男,女"</formula1>
    </dataValidation>
    <dataValidation sqref="G5:G204" showDropDown="0" showInputMessage="0" showErrorMessage="0" allowBlank="1" errorTitle="入力できない値です" error="一覧から選んでください" type="list">
      <formula1>"有,無"</formula1>
    </dataValidation>
    <dataValidation sqref="K5:K204" showDropDown="0" showInputMessage="0" showErrorMessage="0" allowBlank="1" errorTitle="入力できない値です" error="一覧から選んでください" type="list">
      <formula1>"70歳以上被用者該当,二以上事業所勤務者の取得,短時間労働者の取得,退職後の継続再雇用者の取得,その他"</formula1>
    </dataValidation>
    <dataValidation sqref="P5:P204" showDropDown="0" showInputMessage="0" showErrorMessage="0" allowBlank="1" errorTitle="入力できない値です" error="一覧から選んでください" type="list">
      <formula1>"新規,再取得"</formula1>
    </dataValidation>
    <dataValidation sqref="R5:R204" showDropDown="0" showInputMessage="0" showErrorMessage="0" allowBlank="1" errorTitle="入力できない値です" error="一覧から選んでください" type="list">
      <formula1>"新規雇用（新規学卒）,新規雇用（その他）,日雇からの切替,その他,出向元への復帰等"</formula1>
    </dataValidation>
    <dataValidation sqref="S5:S204" showDropDown="0" showInputMessage="0" showErrorMessage="0" allowBlank="1" errorTitle="入力できない値です" error="一覧から選んでください" type="list">
      <formula1>"月給,週給,日給,時間給,その他"</formula1>
    </dataValidation>
    <dataValidation sqref="U5:U204" showDropDown="0" showInputMessage="0" showErrorMessage="0" allowBlank="1" errorTitle="入力できない値です" error="一覧から選んでください" type="list">
      <formula1>"日雇,派遣,パートタイム,有期契約労働者,季節的雇用,船員,その他"</formula1>
    </dataValidation>
    <dataValidation sqref="V5:V204" showDropDown="0" showInputMessage="0" showErrorMessage="0" allowBlank="1" errorTitle="入力できない値です" error="一覧から選んでください" type="list">
      <formula1>"管理的職業,専門的・技術的職業,事務的職業,販売の職業,サービスの職業,保安の職業,農林漁業の職業,生産工程の職業,輸送・機械運転の職業,建設・採掘の職業,運搬・清掃・包装等の職業"</formula1>
    </dataValidation>
    <dataValidation sqref="W5:W204" showDropDown="0" showInputMessage="0" showErrorMessage="0" allowBlank="1" errorTitle="入力できない値です" error="一覧から選んでください" type="list">
      <formula1>"安定所紹介,自己就職,民間紹介,把握していない"</formula1>
    </dataValidation>
    <dataValidation sqref="Y5:Y204" showDropDown="0" showInputMessage="0" showErrorMessage="0" allowBlank="1" errorTitle="入力できない値です" error="一覧から選んでください" type="list">
      <formula1>"有,無"</formula1>
    </dataValidation>
    <dataValidation sqref="AA5:AA204" showDropDown="0" showInputMessage="0" showErrorMessage="0" allowBlank="1" errorTitle="入力できない値です" error="一覧から選んでください" type="list">
      <formula1>"有,無"</formula1>
    </dataValidation>
    <dataValidation sqref="AC5:AC204" showDropDown="0" showInputMessage="0" showErrorMessage="0" allowBlank="1" errorTitle="入力できない値です" error="一覧から選んでください" type="list">
      <formula1>"有,無"</formula1>
    </dataValidation>
    <dataValidation sqref="AD5:AD204" showDropDown="0" showInputMessage="0" showErrorMessage="0" allowBlank="1" errorTitle="入力できない値です" error="一覧から選んでください" type="list">
      <formula1>"該当,非該当"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DC3E6"/>
    <outlinePr summaryBelow="1" summaryRight="1"/>
    <pageSetUpPr/>
  </sheetPr>
  <dimension ref="A1:BD20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16" customWidth="1" min="5" max="5"/>
    <col width="11" customWidth="1" min="6" max="6"/>
    <col width="6" customWidth="1" min="7" max="7"/>
    <col width="10" customWidth="1" min="8" max="8"/>
    <col width="14" customWidth="1" min="9" max="9"/>
    <col width="10" customWidth="1" min="10" max="10"/>
    <col width="16" customWidth="1" min="11" max="11"/>
    <col width="8" customWidth="1" min="12" max="12"/>
    <col width="15" customWidth="1" min="13" max="13"/>
    <col width="16" customWidth="1" min="14" max="14"/>
    <col width="8" customWidth="1" min="15" max="15"/>
    <col width="8" customWidth="1" min="16" max="16"/>
    <col width="8" customWidth="1" min="17" max="17"/>
    <col width="24" customWidth="1" min="18" max="18"/>
    <col width="18" customWidth="1" min="19" max="19"/>
    <col width="10" customWidth="1" min="20" max="20"/>
    <col width="11" customWidth="1" min="21" max="21"/>
    <col width="10" customWidth="1" min="22" max="22"/>
    <col width="14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</cols>
  <sheetData>
    <row r="1">
      <c r="A1" s="4" t="inlineStr">
        <is>
          <t>退職台帳（退職者）</t>
        </is>
      </c>
    </row>
    <row r="2">
      <c r="A2" s="5" t="inlineStr">
        <is>
          <t>①DB貼り付け欄に入退職管理マスタの行を【値で貼り付け】 ②黄色の追加入力を埋める ③出力する行のA列に○</t>
        </is>
      </c>
    </row>
    <row r="3">
      <c r="A3" s="10" t="inlineStr">
        <is>
          <t>自動・出力管理</t>
        </is>
      </c>
      <c r="E3" s="10" t="inlineStr">
        <is>
          <t>追加入力（黄色）：DBにない届書の項目</t>
        </is>
      </c>
      <c r="Y3" s="10" t="inlineStr">
        <is>
          <t>DB貼り付け欄：入退職管理マスタの行を値で貼り付け（見出しが変わったら4行目も貼り直す）</t>
        </is>
      </c>
    </row>
    <row r="4" ht="48" customHeight="1">
      <c r="A4" s="9" t="inlineStr">
        <is>
          <t>出力対象</t>
        </is>
      </c>
      <c r="B4" s="9" t="inlineStr">
        <is>
          <t>出力済</t>
        </is>
      </c>
      <c r="C4" s="9" t="inlineStr">
        <is>
          <t>職員番号（表示）</t>
        </is>
      </c>
      <c r="D4" s="9" t="inlineStr">
        <is>
          <t>氏名（表示）</t>
        </is>
      </c>
      <c r="E4" s="11" t="inlineStr">
        <is>
          <t>フリガナ</t>
        </is>
      </c>
      <c r="F4" s="11" t="inlineStr">
        <is>
          <t>生年月日</t>
        </is>
      </c>
      <c r="G4" s="11" t="inlineStr">
        <is>
          <t>性別</t>
        </is>
      </c>
      <c r="H4" s="11" t="inlineStr">
        <is>
          <t>被保険者整理番号</t>
        </is>
      </c>
      <c r="I4" s="11" t="inlineStr">
        <is>
          <t>基礎年金番号</t>
        </is>
      </c>
      <c r="J4" s="11" t="inlineStr">
        <is>
          <t>社保喪失原因</t>
        </is>
      </c>
      <c r="K4" s="11" t="inlineStr">
        <is>
          <t>社保喪失備考</t>
        </is>
      </c>
      <c r="L4" s="11" t="inlineStr">
        <is>
          <t>70歳以上不該当</t>
        </is>
      </c>
      <c r="M4" s="11" t="inlineStr">
        <is>
          <t>雇保被保険者番号</t>
        </is>
      </c>
      <c r="N4" s="11" t="inlineStr">
        <is>
          <t>雇保喪失原因</t>
        </is>
      </c>
      <c r="O4" s="11" t="inlineStr">
        <is>
          <t>離職票交付希望</t>
        </is>
      </c>
      <c r="P4" s="11" t="inlineStr">
        <is>
          <t>週所定労働時間</t>
        </is>
      </c>
      <c r="Q4" s="11" t="inlineStr">
        <is>
          <t>補充採用予定</t>
        </is>
      </c>
      <c r="R4" s="11" t="inlineStr">
        <is>
          <t>住所</t>
        </is>
      </c>
      <c r="S4" s="11" t="inlineStr">
        <is>
          <t>氏名ローマ字</t>
        </is>
      </c>
      <c r="T4" s="11" t="inlineStr">
        <is>
          <t>国籍・地域</t>
        </is>
      </c>
      <c r="U4" s="11" t="inlineStr">
        <is>
          <t>在留期間満了日</t>
        </is>
      </c>
      <c r="V4" s="11" t="inlineStr">
        <is>
          <t>派遣・請負就労区分</t>
        </is>
      </c>
      <c r="W4" s="11" t="inlineStr">
        <is>
          <t>在留カード番号</t>
        </is>
      </c>
      <c r="Y4" s="9" t="inlineStr">
        <is>
          <t>No.</t>
        </is>
      </c>
      <c r="Z4" s="9" t="inlineStr">
        <is>
          <t>年度</t>
        </is>
      </c>
      <c r="AA4" s="9" t="inlineStr">
        <is>
          <t>退職年月</t>
        </is>
      </c>
      <c r="AB4" s="9" t="inlineStr">
        <is>
          <t>退職日
★必須</t>
        </is>
      </c>
      <c r="AC4" s="9" t="inlineStr">
        <is>
          <t>職員番号
★必須</t>
        </is>
      </c>
      <c r="AD4" s="9" t="inlineStr">
        <is>
          <t>氏名
★必須</t>
        </is>
      </c>
      <c r="AE4" s="9" t="inlineStr">
        <is>
          <t>事業所
★選択</t>
        </is>
      </c>
      <c r="AF4" s="9" t="inlineStr">
        <is>
          <t>事業所
コード</t>
        </is>
      </c>
      <c r="AG4" s="9" t="inlineStr">
        <is>
          <t>職種
★選択</t>
        </is>
      </c>
      <c r="AH4" s="9" t="inlineStr">
        <is>
          <t>雇用区分
★選択</t>
        </is>
      </c>
      <c r="AI4" s="9" t="inlineStr">
        <is>
          <t>在留資格
区分★</t>
        </is>
      </c>
      <c r="AJ4" s="9" t="inlineStr">
        <is>
          <t>入職日
★必須</t>
        </is>
      </c>
      <c r="AK4" s="9" t="inlineStr">
        <is>
          <t>勤続年数</t>
        </is>
      </c>
      <c r="AL4" s="9" t="inlineStr">
        <is>
          <t>勤続区分</t>
        </is>
      </c>
      <c r="AM4" s="9" t="inlineStr">
        <is>
          <t>退職区分
★選択</t>
        </is>
      </c>
      <c r="AN4" s="9" t="inlineStr">
        <is>
          <t>退職理由1
★選択</t>
        </is>
      </c>
      <c r="AO4" s="9" t="inlineStr">
        <is>
          <t>退職理由2</t>
        </is>
      </c>
      <c r="AP4" s="9" t="inlineStr">
        <is>
          <t>退職理由3</t>
        </is>
      </c>
      <c r="AQ4" s="9" t="inlineStr">
        <is>
          <t>退職事由
補足</t>
        </is>
      </c>
      <c r="AR4" s="9" t="inlineStr">
        <is>
          <t>再雇用
可否</t>
        </is>
      </c>
      <c r="AS4" s="9" t="inlineStr">
        <is>
          <t>手続
ステータス</t>
        </is>
      </c>
      <c r="AT4" s="9" t="inlineStr">
        <is>
          <t>進捗率</t>
        </is>
      </c>
      <c r="AU4" s="9" t="inlineStr">
        <is>
          <t>退職届
受理</t>
        </is>
      </c>
      <c r="AV4" s="9" t="inlineStr">
        <is>
          <t>社保
資格喪失</t>
        </is>
      </c>
      <c r="AW4" s="9" t="inlineStr">
        <is>
          <t>扶養</t>
        </is>
      </c>
      <c r="AX4" s="9" t="inlineStr">
        <is>
          <t>70歳以上被用者不該当届</t>
        </is>
      </c>
      <c r="AY4" s="9" t="inlineStr">
        <is>
          <t>保険証等
回収</t>
        </is>
      </c>
      <c r="AZ4" s="9" t="inlineStr">
        <is>
          <t>高齢受給者証</t>
        </is>
      </c>
      <c r="BA4" s="9" t="inlineStr">
        <is>
          <t>離職証明書
提出日</t>
        </is>
      </c>
      <c r="BB4" s="9" t="inlineStr">
        <is>
          <t>離職票
交付</t>
        </is>
      </c>
      <c r="BC4" s="9" t="inlineStr">
        <is>
          <t>社保喪失
手続★選択</t>
        </is>
      </c>
      <c r="BD4" s="9" t="inlineStr">
        <is>
          <t>雇保喪失
手続★選択</t>
        </is>
      </c>
    </row>
    <row r="5">
      <c r="A5" s="12" t="inlineStr">
        <is>
          <t>○</t>
        </is>
      </c>
      <c r="B5" s="8" t="n"/>
      <c r="C5" s="8">
        <f>IFERROR(INDEX($Y5:$FS5,MATCH("職員番号*",$Y$4:$FS$4,0))&amp;"","")</f>
        <v/>
      </c>
      <c r="D5" s="8">
        <f>IFERROR(INDEX($Y5:$FS5,MATCH("氏名*",$Y$4:$FS$4,0))&amp;"","")</f>
        <v/>
      </c>
      <c r="E5" s="13" t="inlineStr">
        <is>
          <t>スズキ イチロウ</t>
        </is>
      </c>
      <c r="F5" s="16" t="n">
        <v>31077</v>
      </c>
      <c r="G5" s="13" t="inlineStr">
        <is>
          <t>男</t>
        </is>
      </c>
      <c r="H5" s="13" t="inlineStr">
        <is>
          <t>123</t>
        </is>
      </c>
      <c r="I5" s="13" t="n"/>
      <c r="J5" s="13" t="inlineStr">
        <is>
          <t>退職等</t>
        </is>
      </c>
      <c r="K5" s="13" t="n"/>
      <c r="L5" s="13" t="inlineStr">
        <is>
          <t>無</t>
        </is>
      </c>
      <c r="M5" s="13" t="inlineStr">
        <is>
          <t>9999-999999-9</t>
        </is>
      </c>
      <c r="N5" s="13" t="inlineStr">
        <is>
          <t>3以外の離職</t>
        </is>
      </c>
      <c r="O5" s="13" t="inlineStr">
        <is>
          <t>有</t>
        </is>
      </c>
      <c r="P5" s="14" t="n">
        <v>40</v>
      </c>
      <c r="Q5" s="13" t="inlineStr">
        <is>
          <t>有</t>
        </is>
      </c>
      <c r="R5" s="13" t="inlineStr">
        <is>
          <t>長野県ダミー市ダミー町1-2-3</t>
        </is>
      </c>
      <c r="S5" s="13" t="n"/>
      <c r="T5" s="13" t="n"/>
      <c r="U5" s="16" t="n"/>
      <c r="V5" s="13" t="n"/>
      <c r="W5" s="13" t="n"/>
      <c r="Y5" t="n">
        <v>1</v>
      </c>
      <c r="Z5" t="inlineStr">
        <is>
          <t>R08</t>
        </is>
      </c>
      <c r="AA5" t="inlineStr">
        <is>
          <t>2026/11</t>
        </is>
      </c>
      <c r="AB5" s="17" t="n">
        <v>46356</v>
      </c>
      <c r="AC5" t="inlineStr">
        <is>
          <t>D004</t>
        </is>
      </c>
      <c r="AD5" t="inlineStr">
        <is>
          <t>鈴木 一郎</t>
        </is>
      </c>
      <c r="AE5" t="inlineStr">
        <is>
          <t>デイB</t>
        </is>
      </c>
      <c r="AF5" t="inlineStr">
        <is>
          <t>002</t>
        </is>
      </c>
      <c r="AG5" t="inlineStr">
        <is>
          <t>生活相談員</t>
        </is>
      </c>
      <c r="AH5" t="inlineStr">
        <is>
          <t>正規職員</t>
        </is>
      </c>
      <c r="AJ5" s="17" t="n">
        <v>42095</v>
      </c>
      <c r="AK5" t="n">
        <v>11.7</v>
      </c>
      <c r="AL5" t="inlineStr">
        <is>
          <t>10年以上</t>
        </is>
      </c>
      <c r="AM5" t="inlineStr">
        <is>
          <t>自己都合</t>
        </is>
      </c>
      <c r="AN5" t="inlineStr">
        <is>
          <t>03.転職</t>
        </is>
      </c>
      <c r="AR5" t="inlineStr">
        <is>
          <t>可</t>
        </is>
      </c>
      <c r="AS5" t="inlineStr">
        <is>
          <t>手続中</t>
        </is>
      </c>
      <c r="AU5" t="inlineStr">
        <is>
          <t>済</t>
        </is>
      </c>
      <c r="AX5" t="inlineStr">
        <is>
          <t>対象外</t>
        </is>
      </c>
    </row>
    <row r="6">
      <c r="A6" s="12" t="inlineStr">
        <is>
          <t>○</t>
        </is>
      </c>
      <c r="B6" s="8" t="n"/>
      <c r="C6" s="8">
        <f>IFERROR(INDEX($Y6:$FS6,MATCH("職員番号*",$Y$4:$FS$4,0))&amp;"","")</f>
        <v/>
      </c>
      <c r="D6" s="8">
        <f>IFERROR(INDEX($Y6:$FS6,MATCH("氏名*",$Y$4:$FS$4,0))&amp;"","")</f>
        <v/>
      </c>
      <c r="E6" s="13" t="inlineStr">
        <is>
          <t>タカハシ サクラ</t>
        </is>
      </c>
      <c r="F6" s="16" t="n">
        <v>33792</v>
      </c>
      <c r="G6" s="13" t="inlineStr">
        <is>
          <t>女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4" t="n"/>
      <c r="Q6" s="13" t="n"/>
      <c r="R6" s="13" t="n"/>
      <c r="S6" s="13" t="n"/>
      <c r="T6" s="13" t="n"/>
      <c r="U6" s="16" t="n"/>
      <c r="V6" s="13" t="n"/>
      <c r="W6" s="13" t="n"/>
      <c r="Y6" t="n">
        <v>2</v>
      </c>
      <c r="Z6" t="inlineStr">
        <is>
          <t>R08</t>
        </is>
      </c>
      <c r="AA6" t="inlineStr">
        <is>
          <t>2026/11</t>
        </is>
      </c>
      <c r="AB6" s="17" t="n">
        <v>46341</v>
      </c>
      <c r="AC6" t="inlineStr">
        <is>
          <t>D005</t>
        </is>
      </c>
      <c r="AD6" t="inlineStr">
        <is>
          <t>高橋 さくら</t>
        </is>
      </c>
      <c r="AE6" t="inlineStr">
        <is>
          <t>訪問C</t>
        </is>
      </c>
      <c r="AF6" t="inlineStr">
        <is>
          <t>003</t>
        </is>
      </c>
      <c r="AG6" t="inlineStr">
        <is>
          <t>サービス提供責任者</t>
        </is>
      </c>
      <c r="AH6" t="inlineStr">
        <is>
          <t>パート</t>
        </is>
      </c>
      <c r="AJ6" s="17" t="n">
        <v>45444</v>
      </c>
      <c r="AK6" t="n">
        <v>2.5</v>
      </c>
      <c r="AL6" t="inlineStr">
        <is>
          <t>1年以上3年未満</t>
        </is>
      </c>
      <c r="AM6" t="inlineStr">
        <is>
          <t>自己都合</t>
        </is>
      </c>
      <c r="AN6" t="inlineStr">
        <is>
          <t>01.家庭の事情</t>
        </is>
      </c>
      <c r="AR6" t="inlineStr">
        <is>
          <t>可</t>
        </is>
      </c>
      <c r="AS6" t="inlineStr">
        <is>
          <t>手続中</t>
        </is>
      </c>
      <c r="AU6" t="inlineStr">
        <is>
          <t>済</t>
        </is>
      </c>
      <c r="AV6" t="inlineStr">
        <is>
          <t>対象外</t>
        </is>
      </c>
      <c r="AX6" t="inlineStr">
        <is>
          <t>対象外</t>
        </is>
      </c>
      <c r="BC6" t="inlineStr">
        <is>
          <t>対象外</t>
        </is>
      </c>
      <c r="BD6" t="inlineStr">
        <is>
          <t>対象外</t>
        </is>
      </c>
    </row>
    <row r="7">
      <c r="A7" s="12" t="n"/>
      <c r="B7" s="8" t="n"/>
      <c r="C7" s="8">
        <f>IFERROR(INDEX($Y7:$FS7,MATCH("職員番号*",$Y$4:$FS$4,0))&amp;"","")</f>
        <v/>
      </c>
      <c r="D7" s="8">
        <f>IFERROR(INDEX($Y7:$FS7,MATCH("氏名*",$Y$4:$FS$4,0))&amp;"","")</f>
        <v/>
      </c>
      <c r="E7" s="13" t="n"/>
      <c r="F7" s="16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4" t="n"/>
      <c r="Q7" s="13" t="n"/>
      <c r="R7" s="13" t="n"/>
      <c r="S7" s="13" t="n"/>
      <c r="T7" s="13" t="n"/>
      <c r="U7" s="16" t="n"/>
      <c r="V7" s="13" t="n"/>
      <c r="W7" s="13" t="n"/>
    </row>
    <row r="8">
      <c r="A8" s="12" t="n"/>
      <c r="B8" s="8" t="n"/>
      <c r="C8" s="8">
        <f>IFERROR(INDEX($Y8:$FS8,MATCH("職員番号*",$Y$4:$FS$4,0))&amp;"","")</f>
        <v/>
      </c>
      <c r="D8" s="8">
        <f>IFERROR(INDEX($Y8:$FS8,MATCH("氏名*",$Y$4:$FS$4,0))&amp;"","")</f>
        <v/>
      </c>
      <c r="E8" s="13" t="n"/>
      <c r="F8" s="16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4" t="n"/>
      <c r="Q8" s="13" t="n"/>
      <c r="R8" s="13" t="n"/>
      <c r="S8" s="13" t="n"/>
      <c r="T8" s="13" t="n"/>
      <c r="U8" s="16" t="n"/>
      <c r="V8" s="13" t="n"/>
      <c r="W8" s="13" t="n"/>
    </row>
    <row r="9">
      <c r="A9" s="12" t="n"/>
      <c r="B9" s="8" t="n"/>
      <c r="C9" s="8">
        <f>IFERROR(INDEX($Y9:$FS9,MATCH("職員番号*",$Y$4:$FS$4,0))&amp;"","")</f>
        <v/>
      </c>
      <c r="D9" s="8">
        <f>IFERROR(INDEX($Y9:$FS9,MATCH("氏名*",$Y$4:$FS$4,0))&amp;"","")</f>
        <v/>
      </c>
      <c r="E9" s="13" t="n"/>
      <c r="F9" s="1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4" t="n"/>
      <c r="Q9" s="13" t="n"/>
      <c r="R9" s="13" t="n"/>
      <c r="S9" s="13" t="n"/>
      <c r="T9" s="13" t="n"/>
      <c r="U9" s="16" t="n"/>
      <c r="V9" s="13" t="n"/>
      <c r="W9" s="13" t="n"/>
    </row>
    <row r="10">
      <c r="A10" s="12" t="n"/>
      <c r="B10" s="8" t="n"/>
      <c r="C10" s="8">
        <f>IFERROR(INDEX($Y10:$FS10,MATCH("職員番号*",$Y$4:$FS$4,0))&amp;"","")</f>
        <v/>
      </c>
      <c r="D10" s="8">
        <f>IFERROR(INDEX($Y10:$FS10,MATCH("氏名*",$Y$4:$FS$4,0))&amp;"","")</f>
        <v/>
      </c>
      <c r="E10" s="13" t="n"/>
      <c r="F10" s="16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4" t="n"/>
      <c r="Q10" s="13" t="n"/>
      <c r="R10" s="13" t="n"/>
      <c r="S10" s="13" t="n"/>
      <c r="T10" s="13" t="n"/>
      <c r="U10" s="16" t="n"/>
      <c r="V10" s="13" t="n"/>
      <c r="W10" s="13" t="n"/>
    </row>
    <row r="11">
      <c r="A11" s="12" t="n"/>
      <c r="B11" s="8" t="n"/>
      <c r="C11" s="8">
        <f>IFERROR(INDEX($Y11:$FS11,MATCH("職員番号*",$Y$4:$FS$4,0))&amp;"","")</f>
        <v/>
      </c>
      <c r="D11" s="8">
        <f>IFERROR(INDEX($Y11:$FS11,MATCH("氏名*",$Y$4:$FS$4,0))&amp;"","")</f>
        <v/>
      </c>
      <c r="E11" s="13" t="n"/>
      <c r="F11" s="16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n"/>
      <c r="Q11" s="13" t="n"/>
      <c r="R11" s="13" t="n"/>
      <c r="S11" s="13" t="n"/>
      <c r="T11" s="13" t="n"/>
      <c r="U11" s="16" t="n"/>
      <c r="V11" s="13" t="n"/>
      <c r="W11" s="13" t="n"/>
    </row>
    <row r="12">
      <c r="A12" s="12" t="n"/>
      <c r="B12" s="8" t="n"/>
      <c r="C12" s="8">
        <f>IFERROR(INDEX($Y12:$FS12,MATCH("職員番号*",$Y$4:$FS$4,0))&amp;"","")</f>
        <v/>
      </c>
      <c r="D12" s="8">
        <f>IFERROR(INDEX($Y12:$FS12,MATCH("氏名*",$Y$4:$FS$4,0))&amp;"","")</f>
        <v/>
      </c>
      <c r="E12" s="13" t="n"/>
      <c r="F12" s="16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3" t="n"/>
      <c r="R12" s="13" t="n"/>
      <c r="S12" s="13" t="n"/>
      <c r="T12" s="13" t="n"/>
      <c r="U12" s="16" t="n"/>
      <c r="V12" s="13" t="n"/>
      <c r="W12" s="13" t="n"/>
    </row>
    <row r="13">
      <c r="A13" s="12" t="n"/>
      <c r="B13" s="8" t="n"/>
      <c r="C13" s="8">
        <f>IFERROR(INDEX($Y13:$FS13,MATCH("職員番号*",$Y$4:$FS$4,0))&amp;"","")</f>
        <v/>
      </c>
      <c r="D13" s="8">
        <f>IFERROR(INDEX($Y13:$FS13,MATCH("氏名*",$Y$4:$FS$4,0))&amp;"","")</f>
        <v/>
      </c>
      <c r="E13" s="13" t="n"/>
      <c r="F13" s="16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4" t="n"/>
      <c r="Q13" s="13" t="n"/>
      <c r="R13" s="13" t="n"/>
      <c r="S13" s="13" t="n"/>
      <c r="T13" s="13" t="n"/>
      <c r="U13" s="16" t="n"/>
      <c r="V13" s="13" t="n"/>
      <c r="W13" s="13" t="n"/>
    </row>
    <row r="14">
      <c r="A14" s="12" t="n"/>
      <c r="B14" s="8" t="n"/>
      <c r="C14" s="8">
        <f>IFERROR(INDEX($Y14:$FS14,MATCH("職員番号*",$Y$4:$FS$4,0))&amp;"","")</f>
        <v/>
      </c>
      <c r="D14" s="8">
        <f>IFERROR(INDEX($Y14:$FS14,MATCH("氏名*",$Y$4:$FS$4,0))&amp;"","")</f>
        <v/>
      </c>
      <c r="E14" s="13" t="n"/>
      <c r="F14" s="16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4" t="n"/>
      <c r="Q14" s="13" t="n"/>
      <c r="R14" s="13" t="n"/>
      <c r="S14" s="13" t="n"/>
      <c r="T14" s="13" t="n"/>
      <c r="U14" s="16" t="n"/>
      <c r="V14" s="13" t="n"/>
      <c r="W14" s="13" t="n"/>
    </row>
    <row r="15">
      <c r="A15" s="12" t="n"/>
      <c r="B15" s="8" t="n"/>
      <c r="C15" s="8">
        <f>IFERROR(INDEX($Y15:$FS15,MATCH("職員番号*",$Y$4:$FS$4,0))&amp;"","")</f>
        <v/>
      </c>
      <c r="D15" s="8">
        <f>IFERROR(INDEX($Y15:$FS15,MATCH("氏名*",$Y$4:$FS$4,0))&amp;"","")</f>
        <v/>
      </c>
      <c r="E15" s="13" t="n"/>
      <c r="F15" s="16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4" t="n"/>
      <c r="Q15" s="13" t="n"/>
      <c r="R15" s="13" t="n"/>
      <c r="S15" s="13" t="n"/>
      <c r="T15" s="13" t="n"/>
      <c r="U15" s="16" t="n"/>
      <c r="V15" s="13" t="n"/>
      <c r="W15" s="13" t="n"/>
    </row>
    <row r="16">
      <c r="A16" s="12" t="n"/>
      <c r="B16" s="8" t="n"/>
      <c r="C16" s="8">
        <f>IFERROR(INDEX($Y16:$FS16,MATCH("職員番号*",$Y$4:$FS$4,0))&amp;"","")</f>
        <v/>
      </c>
      <c r="D16" s="8">
        <f>IFERROR(INDEX($Y16:$FS16,MATCH("氏名*",$Y$4:$FS$4,0))&amp;"","")</f>
        <v/>
      </c>
      <c r="E16" s="13" t="n"/>
      <c r="F16" s="16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4" t="n"/>
      <c r="Q16" s="13" t="n"/>
      <c r="R16" s="13" t="n"/>
      <c r="S16" s="13" t="n"/>
      <c r="T16" s="13" t="n"/>
      <c r="U16" s="16" t="n"/>
      <c r="V16" s="13" t="n"/>
      <c r="W16" s="13" t="n"/>
    </row>
    <row r="17">
      <c r="A17" s="12" t="n"/>
      <c r="B17" s="8" t="n"/>
      <c r="C17" s="8">
        <f>IFERROR(INDEX($Y17:$FS17,MATCH("職員番号*",$Y$4:$FS$4,0))&amp;"","")</f>
        <v/>
      </c>
      <c r="D17" s="8">
        <f>IFERROR(INDEX($Y17:$FS17,MATCH("氏名*",$Y$4:$FS$4,0))&amp;"","")</f>
        <v/>
      </c>
      <c r="E17" s="13" t="n"/>
      <c r="F17" s="16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6" t="n"/>
      <c r="V17" s="13" t="n"/>
      <c r="W17" s="13" t="n"/>
    </row>
    <row r="18">
      <c r="A18" s="12" t="n"/>
      <c r="B18" s="8" t="n"/>
      <c r="C18" s="8">
        <f>IFERROR(INDEX($Y18:$FS18,MATCH("職員番号*",$Y$4:$FS$4,0))&amp;"","")</f>
        <v/>
      </c>
      <c r="D18" s="8">
        <f>IFERROR(INDEX($Y18:$FS18,MATCH("氏名*",$Y$4:$FS$4,0))&amp;"","")</f>
        <v/>
      </c>
      <c r="E18" s="13" t="n"/>
      <c r="F18" s="16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4" t="n"/>
      <c r="Q18" s="13" t="n"/>
      <c r="R18" s="13" t="n"/>
      <c r="S18" s="13" t="n"/>
      <c r="T18" s="13" t="n"/>
      <c r="U18" s="16" t="n"/>
      <c r="V18" s="13" t="n"/>
      <c r="W18" s="13" t="n"/>
    </row>
    <row r="19">
      <c r="A19" s="12" t="n"/>
      <c r="B19" s="8" t="n"/>
      <c r="C19" s="8">
        <f>IFERROR(INDEX($Y19:$FS19,MATCH("職員番号*",$Y$4:$FS$4,0))&amp;"","")</f>
        <v/>
      </c>
      <c r="D19" s="8">
        <f>IFERROR(INDEX($Y19:$FS19,MATCH("氏名*",$Y$4:$FS$4,0))&amp;"","")</f>
        <v/>
      </c>
      <c r="E19" s="13" t="n"/>
      <c r="F19" s="16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4" t="n"/>
      <c r="Q19" s="13" t="n"/>
      <c r="R19" s="13" t="n"/>
      <c r="S19" s="13" t="n"/>
      <c r="T19" s="13" t="n"/>
      <c r="U19" s="16" t="n"/>
      <c r="V19" s="13" t="n"/>
      <c r="W19" s="13" t="n"/>
    </row>
    <row r="20">
      <c r="A20" s="12" t="n"/>
      <c r="B20" s="8" t="n"/>
      <c r="C20" s="8">
        <f>IFERROR(INDEX($Y20:$FS20,MATCH("職員番号*",$Y$4:$FS$4,0))&amp;"","")</f>
        <v/>
      </c>
      <c r="D20" s="8">
        <f>IFERROR(INDEX($Y20:$FS20,MATCH("氏名*",$Y$4:$FS$4,0))&amp;"","")</f>
        <v/>
      </c>
      <c r="E20" s="13" t="n"/>
      <c r="F20" s="16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4" t="n"/>
      <c r="Q20" s="13" t="n"/>
      <c r="R20" s="13" t="n"/>
      <c r="S20" s="13" t="n"/>
      <c r="T20" s="13" t="n"/>
      <c r="U20" s="16" t="n"/>
      <c r="V20" s="13" t="n"/>
      <c r="W20" s="13" t="n"/>
    </row>
    <row r="21">
      <c r="A21" s="12" t="n"/>
      <c r="B21" s="8" t="n"/>
      <c r="C21" s="8">
        <f>IFERROR(INDEX($Y21:$FS21,MATCH("職員番号*",$Y$4:$FS$4,0))&amp;"","")</f>
        <v/>
      </c>
      <c r="D21" s="8">
        <f>IFERROR(INDEX($Y21:$FS21,MATCH("氏名*",$Y$4:$FS$4,0))&amp;"","")</f>
        <v/>
      </c>
      <c r="E21" s="13" t="n"/>
      <c r="F21" s="16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4" t="n"/>
      <c r="Q21" s="13" t="n"/>
      <c r="R21" s="13" t="n"/>
      <c r="S21" s="13" t="n"/>
      <c r="T21" s="13" t="n"/>
      <c r="U21" s="16" t="n"/>
      <c r="V21" s="13" t="n"/>
      <c r="W21" s="13" t="n"/>
    </row>
    <row r="22">
      <c r="A22" s="12" t="n"/>
      <c r="B22" s="8" t="n"/>
      <c r="C22" s="8">
        <f>IFERROR(INDEX($Y22:$FS22,MATCH("職員番号*",$Y$4:$FS$4,0))&amp;"","")</f>
        <v/>
      </c>
      <c r="D22" s="8">
        <f>IFERROR(INDEX($Y22:$FS22,MATCH("氏名*",$Y$4:$FS$4,0))&amp;"","")</f>
        <v/>
      </c>
      <c r="E22" s="13" t="n"/>
      <c r="F22" s="16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4" t="n"/>
      <c r="Q22" s="13" t="n"/>
      <c r="R22" s="13" t="n"/>
      <c r="S22" s="13" t="n"/>
      <c r="T22" s="13" t="n"/>
      <c r="U22" s="16" t="n"/>
      <c r="V22" s="13" t="n"/>
      <c r="W22" s="13" t="n"/>
    </row>
    <row r="23">
      <c r="A23" s="12" t="n"/>
      <c r="B23" s="8" t="n"/>
      <c r="C23" s="8">
        <f>IFERROR(INDEX($Y23:$FS23,MATCH("職員番号*",$Y$4:$FS$4,0))&amp;"","")</f>
        <v/>
      </c>
      <c r="D23" s="8">
        <f>IFERROR(INDEX($Y23:$FS23,MATCH("氏名*",$Y$4:$FS$4,0))&amp;"","")</f>
        <v/>
      </c>
      <c r="E23" s="13" t="n"/>
      <c r="F23" s="16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4" t="n"/>
      <c r="Q23" s="13" t="n"/>
      <c r="R23" s="13" t="n"/>
      <c r="S23" s="13" t="n"/>
      <c r="T23" s="13" t="n"/>
      <c r="U23" s="16" t="n"/>
      <c r="V23" s="13" t="n"/>
      <c r="W23" s="13" t="n"/>
    </row>
    <row r="24">
      <c r="A24" s="12" t="n"/>
      <c r="B24" s="8" t="n"/>
      <c r="C24" s="8">
        <f>IFERROR(INDEX($Y24:$FS24,MATCH("職員番号*",$Y$4:$FS$4,0))&amp;"","")</f>
        <v/>
      </c>
      <c r="D24" s="8">
        <f>IFERROR(INDEX($Y24:$FS24,MATCH("氏名*",$Y$4:$FS$4,0))&amp;"","")</f>
        <v/>
      </c>
      <c r="E24" s="13" t="n"/>
      <c r="F24" s="16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4" t="n"/>
      <c r="Q24" s="13" t="n"/>
      <c r="R24" s="13" t="n"/>
      <c r="S24" s="13" t="n"/>
      <c r="T24" s="13" t="n"/>
      <c r="U24" s="16" t="n"/>
      <c r="V24" s="13" t="n"/>
      <c r="W24" s="13" t="n"/>
    </row>
    <row r="25">
      <c r="A25" s="12" t="n"/>
      <c r="B25" s="8" t="n"/>
      <c r="C25" s="8">
        <f>IFERROR(INDEX($Y25:$FS25,MATCH("職員番号*",$Y$4:$FS$4,0))&amp;"","")</f>
        <v/>
      </c>
      <c r="D25" s="8">
        <f>IFERROR(INDEX($Y25:$FS25,MATCH("氏名*",$Y$4:$FS$4,0))&amp;"","")</f>
        <v/>
      </c>
      <c r="E25" s="13" t="n"/>
      <c r="F25" s="16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4" t="n"/>
      <c r="Q25" s="13" t="n"/>
      <c r="R25" s="13" t="n"/>
      <c r="S25" s="13" t="n"/>
      <c r="T25" s="13" t="n"/>
      <c r="U25" s="16" t="n"/>
      <c r="V25" s="13" t="n"/>
      <c r="W25" s="13" t="n"/>
    </row>
    <row r="26">
      <c r="A26" s="12" t="n"/>
      <c r="B26" s="8" t="n"/>
      <c r="C26" s="8">
        <f>IFERROR(INDEX($Y26:$FS26,MATCH("職員番号*",$Y$4:$FS$4,0))&amp;"","")</f>
        <v/>
      </c>
      <c r="D26" s="8">
        <f>IFERROR(INDEX($Y26:$FS26,MATCH("氏名*",$Y$4:$FS$4,0))&amp;"","")</f>
        <v/>
      </c>
      <c r="E26" s="13" t="n"/>
      <c r="F26" s="16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4" t="n"/>
      <c r="Q26" s="13" t="n"/>
      <c r="R26" s="13" t="n"/>
      <c r="S26" s="13" t="n"/>
      <c r="T26" s="13" t="n"/>
      <c r="U26" s="16" t="n"/>
      <c r="V26" s="13" t="n"/>
      <c r="W26" s="13" t="n"/>
    </row>
    <row r="27">
      <c r="A27" s="12" t="n"/>
      <c r="B27" s="8" t="n"/>
      <c r="C27" s="8">
        <f>IFERROR(INDEX($Y27:$FS27,MATCH("職員番号*",$Y$4:$FS$4,0))&amp;"","")</f>
        <v/>
      </c>
      <c r="D27" s="8">
        <f>IFERROR(INDEX($Y27:$FS27,MATCH("氏名*",$Y$4:$FS$4,0))&amp;"","")</f>
        <v/>
      </c>
      <c r="E27" s="13" t="n"/>
      <c r="F27" s="16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4" t="n"/>
      <c r="Q27" s="13" t="n"/>
      <c r="R27" s="13" t="n"/>
      <c r="S27" s="13" t="n"/>
      <c r="T27" s="13" t="n"/>
      <c r="U27" s="16" t="n"/>
      <c r="V27" s="13" t="n"/>
      <c r="W27" s="13" t="n"/>
    </row>
    <row r="28">
      <c r="A28" s="12" t="n"/>
      <c r="B28" s="8" t="n"/>
      <c r="C28" s="8">
        <f>IFERROR(INDEX($Y28:$FS28,MATCH("職員番号*",$Y$4:$FS$4,0))&amp;"","")</f>
        <v/>
      </c>
      <c r="D28" s="8">
        <f>IFERROR(INDEX($Y28:$FS28,MATCH("氏名*",$Y$4:$FS$4,0))&amp;"","")</f>
        <v/>
      </c>
      <c r="E28" s="13" t="n"/>
      <c r="F28" s="16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4" t="n"/>
      <c r="Q28" s="13" t="n"/>
      <c r="R28" s="13" t="n"/>
      <c r="S28" s="13" t="n"/>
      <c r="T28" s="13" t="n"/>
      <c r="U28" s="16" t="n"/>
      <c r="V28" s="13" t="n"/>
      <c r="W28" s="13" t="n"/>
    </row>
    <row r="29">
      <c r="A29" s="12" t="n"/>
      <c r="B29" s="8" t="n"/>
      <c r="C29" s="8">
        <f>IFERROR(INDEX($Y29:$FS29,MATCH("職員番号*",$Y$4:$FS$4,0))&amp;"","")</f>
        <v/>
      </c>
      <c r="D29" s="8">
        <f>IFERROR(INDEX($Y29:$FS29,MATCH("氏名*",$Y$4:$FS$4,0))&amp;"","")</f>
        <v/>
      </c>
      <c r="E29" s="13" t="n"/>
      <c r="F29" s="16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4" t="n"/>
      <c r="Q29" s="13" t="n"/>
      <c r="R29" s="13" t="n"/>
      <c r="S29" s="13" t="n"/>
      <c r="T29" s="13" t="n"/>
      <c r="U29" s="16" t="n"/>
      <c r="V29" s="13" t="n"/>
      <c r="W29" s="13" t="n"/>
    </row>
    <row r="30">
      <c r="A30" s="12" t="n"/>
      <c r="B30" s="8" t="n"/>
      <c r="C30" s="8">
        <f>IFERROR(INDEX($Y30:$FS30,MATCH("職員番号*",$Y$4:$FS$4,0))&amp;"","")</f>
        <v/>
      </c>
      <c r="D30" s="8">
        <f>IFERROR(INDEX($Y30:$FS30,MATCH("氏名*",$Y$4:$FS$4,0))&amp;"","")</f>
        <v/>
      </c>
      <c r="E30" s="13" t="n"/>
      <c r="F30" s="16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4" t="n"/>
      <c r="Q30" s="13" t="n"/>
      <c r="R30" s="13" t="n"/>
      <c r="S30" s="13" t="n"/>
      <c r="T30" s="13" t="n"/>
      <c r="U30" s="16" t="n"/>
      <c r="V30" s="13" t="n"/>
      <c r="W30" s="13" t="n"/>
    </row>
    <row r="31">
      <c r="A31" s="12" t="n"/>
      <c r="B31" s="8" t="n"/>
      <c r="C31" s="8">
        <f>IFERROR(INDEX($Y31:$FS31,MATCH("職員番号*",$Y$4:$FS$4,0))&amp;"","")</f>
        <v/>
      </c>
      <c r="D31" s="8">
        <f>IFERROR(INDEX($Y31:$FS31,MATCH("氏名*",$Y$4:$FS$4,0))&amp;"","")</f>
        <v/>
      </c>
      <c r="E31" s="13" t="n"/>
      <c r="F31" s="16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4" t="n"/>
      <c r="Q31" s="13" t="n"/>
      <c r="R31" s="13" t="n"/>
      <c r="S31" s="13" t="n"/>
      <c r="T31" s="13" t="n"/>
      <c r="U31" s="16" t="n"/>
      <c r="V31" s="13" t="n"/>
      <c r="W31" s="13" t="n"/>
    </row>
    <row r="32">
      <c r="A32" s="12" t="n"/>
      <c r="B32" s="8" t="n"/>
      <c r="C32" s="8">
        <f>IFERROR(INDEX($Y32:$FS32,MATCH("職員番号*",$Y$4:$FS$4,0))&amp;"","")</f>
        <v/>
      </c>
      <c r="D32" s="8">
        <f>IFERROR(INDEX($Y32:$FS32,MATCH("氏名*",$Y$4:$FS$4,0))&amp;"","")</f>
        <v/>
      </c>
      <c r="E32" s="13" t="n"/>
      <c r="F32" s="16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4" t="n"/>
      <c r="Q32" s="13" t="n"/>
      <c r="R32" s="13" t="n"/>
      <c r="S32" s="13" t="n"/>
      <c r="T32" s="13" t="n"/>
      <c r="U32" s="16" t="n"/>
      <c r="V32" s="13" t="n"/>
      <c r="W32" s="13" t="n"/>
    </row>
    <row r="33">
      <c r="A33" s="12" t="n"/>
      <c r="B33" s="8" t="n"/>
      <c r="C33" s="8">
        <f>IFERROR(INDEX($Y33:$FS33,MATCH("職員番号*",$Y$4:$FS$4,0))&amp;"","")</f>
        <v/>
      </c>
      <c r="D33" s="8">
        <f>IFERROR(INDEX($Y33:$FS33,MATCH("氏名*",$Y$4:$FS$4,0))&amp;"","")</f>
        <v/>
      </c>
      <c r="E33" s="13" t="n"/>
      <c r="F33" s="16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4" t="n"/>
      <c r="Q33" s="13" t="n"/>
      <c r="R33" s="13" t="n"/>
      <c r="S33" s="13" t="n"/>
      <c r="T33" s="13" t="n"/>
      <c r="U33" s="16" t="n"/>
      <c r="V33" s="13" t="n"/>
      <c r="W33" s="13" t="n"/>
    </row>
    <row r="34">
      <c r="A34" s="12" t="n"/>
      <c r="B34" s="8" t="n"/>
      <c r="C34" s="8">
        <f>IFERROR(INDEX($Y34:$FS34,MATCH("職員番号*",$Y$4:$FS$4,0))&amp;"","")</f>
        <v/>
      </c>
      <c r="D34" s="8">
        <f>IFERROR(INDEX($Y34:$FS34,MATCH("氏名*",$Y$4:$FS$4,0))&amp;"","")</f>
        <v/>
      </c>
      <c r="E34" s="13" t="n"/>
      <c r="F34" s="16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4" t="n"/>
      <c r="Q34" s="13" t="n"/>
      <c r="R34" s="13" t="n"/>
      <c r="S34" s="13" t="n"/>
      <c r="T34" s="13" t="n"/>
      <c r="U34" s="16" t="n"/>
      <c r="V34" s="13" t="n"/>
      <c r="W34" s="13" t="n"/>
    </row>
    <row r="35">
      <c r="A35" s="12" t="n"/>
      <c r="B35" s="8" t="n"/>
      <c r="C35" s="8">
        <f>IFERROR(INDEX($Y35:$FS35,MATCH("職員番号*",$Y$4:$FS$4,0))&amp;"","")</f>
        <v/>
      </c>
      <c r="D35" s="8">
        <f>IFERROR(INDEX($Y35:$FS35,MATCH("氏名*",$Y$4:$FS$4,0))&amp;"","")</f>
        <v/>
      </c>
      <c r="E35" s="13" t="n"/>
      <c r="F35" s="16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4" t="n"/>
      <c r="Q35" s="13" t="n"/>
      <c r="R35" s="13" t="n"/>
      <c r="S35" s="13" t="n"/>
      <c r="T35" s="13" t="n"/>
      <c r="U35" s="16" t="n"/>
      <c r="V35" s="13" t="n"/>
      <c r="W35" s="13" t="n"/>
    </row>
    <row r="36">
      <c r="A36" s="12" t="n"/>
      <c r="B36" s="8" t="n"/>
      <c r="C36" s="8">
        <f>IFERROR(INDEX($Y36:$FS36,MATCH("職員番号*",$Y$4:$FS$4,0))&amp;"","")</f>
        <v/>
      </c>
      <c r="D36" s="8">
        <f>IFERROR(INDEX($Y36:$FS36,MATCH("氏名*",$Y$4:$FS$4,0))&amp;"","")</f>
        <v/>
      </c>
      <c r="E36" s="13" t="n"/>
      <c r="F36" s="16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4" t="n"/>
      <c r="Q36" s="13" t="n"/>
      <c r="R36" s="13" t="n"/>
      <c r="S36" s="13" t="n"/>
      <c r="T36" s="13" t="n"/>
      <c r="U36" s="16" t="n"/>
      <c r="V36" s="13" t="n"/>
      <c r="W36" s="13" t="n"/>
    </row>
    <row r="37">
      <c r="A37" s="12" t="n"/>
      <c r="B37" s="8" t="n"/>
      <c r="C37" s="8">
        <f>IFERROR(INDEX($Y37:$FS37,MATCH("職員番号*",$Y$4:$FS$4,0))&amp;"","")</f>
        <v/>
      </c>
      <c r="D37" s="8">
        <f>IFERROR(INDEX($Y37:$FS37,MATCH("氏名*",$Y$4:$FS$4,0))&amp;"","")</f>
        <v/>
      </c>
      <c r="E37" s="13" t="n"/>
      <c r="F37" s="16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4" t="n"/>
      <c r="Q37" s="13" t="n"/>
      <c r="R37" s="13" t="n"/>
      <c r="S37" s="13" t="n"/>
      <c r="T37" s="13" t="n"/>
      <c r="U37" s="16" t="n"/>
      <c r="V37" s="13" t="n"/>
      <c r="W37" s="13" t="n"/>
    </row>
    <row r="38">
      <c r="A38" s="12" t="n"/>
      <c r="B38" s="8" t="n"/>
      <c r="C38" s="8">
        <f>IFERROR(INDEX($Y38:$FS38,MATCH("職員番号*",$Y$4:$FS$4,0))&amp;"","")</f>
        <v/>
      </c>
      <c r="D38" s="8">
        <f>IFERROR(INDEX($Y38:$FS38,MATCH("氏名*",$Y$4:$FS$4,0))&amp;"","")</f>
        <v/>
      </c>
      <c r="E38" s="13" t="n"/>
      <c r="F38" s="16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4" t="n"/>
      <c r="Q38" s="13" t="n"/>
      <c r="R38" s="13" t="n"/>
      <c r="S38" s="13" t="n"/>
      <c r="T38" s="13" t="n"/>
      <c r="U38" s="16" t="n"/>
      <c r="V38" s="13" t="n"/>
      <c r="W38" s="13" t="n"/>
    </row>
    <row r="39">
      <c r="A39" s="12" t="n"/>
      <c r="B39" s="8" t="n"/>
      <c r="C39" s="8">
        <f>IFERROR(INDEX($Y39:$FS39,MATCH("職員番号*",$Y$4:$FS$4,0))&amp;"","")</f>
        <v/>
      </c>
      <c r="D39" s="8">
        <f>IFERROR(INDEX($Y39:$FS39,MATCH("氏名*",$Y$4:$FS$4,0))&amp;"","")</f>
        <v/>
      </c>
      <c r="E39" s="13" t="n"/>
      <c r="F39" s="16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4" t="n"/>
      <c r="Q39" s="13" t="n"/>
      <c r="R39" s="13" t="n"/>
      <c r="S39" s="13" t="n"/>
      <c r="T39" s="13" t="n"/>
      <c r="U39" s="16" t="n"/>
      <c r="V39" s="13" t="n"/>
      <c r="W39" s="13" t="n"/>
    </row>
    <row r="40">
      <c r="A40" s="12" t="n"/>
      <c r="B40" s="8" t="n"/>
      <c r="C40" s="8">
        <f>IFERROR(INDEX($Y40:$FS40,MATCH("職員番号*",$Y$4:$FS$4,0))&amp;"","")</f>
        <v/>
      </c>
      <c r="D40" s="8">
        <f>IFERROR(INDEX($Y40:$FS40,MATCH("氏名*",$Y$4:$FS$4,0))&amp;"","")</f>
        <v/>
      </c>
      <c r="E40" s="13" t="n"/>
      <c r="F40" s="16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4" t="n"/>
      <c r="Q40" s="13" t="n"/>
      <c r="R40" s="13" t="n"/>
      <c r="S40" s="13" t="n"/>
      <c r="T40" s="13" t="n"/>
      <c r="U40" s="16" t="n"/>
      <c r="V40" s="13" t="n"/>
      <c r="W40" s="13" t="n"/>
    </row>
    <row r="41">
      <c r="A41" s="12" t="n"/>
      <c r="B41" s="8" t="n"/>
      <c r="C41" s="8">
        <f>IFERROR(INDEX($Y41:$FS41,MATCH("職員番号*",$Y$4:$FS$4,0))&amp;"","")</f>
        <v/>
      </c>
      <c r="D41" s="8">
        <f>IFERROR(INDEX($Y41:$FS41,MATCH("氏名*",$Y$4:$FS$4,0))&amp;"","")</f>
        <v/>
      </c>
      <c r="E41" s="13" t="n"/>
      <c r="F41" s="16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4" t="n"/>
      <c r="Q41" s="13" t="n"/>
      <c r="R41" s="13" t="n"/>
      <c r="S41" s="13" t="n"/>
      <c r="T41" s="13" t="n"/>
      <c r="U41" s="16" t="n"/>
      <c r="V41" s="13" t="n"/>
      <c r="W41" s="13" t="n"/>
    </row>
    <row r="42">
      <c r="A42" s="12" t="n"/>
      <c r="B42" s="8" t="n"/>
      <c r="C42" s="8">
        <f>IFERROR(INDEX($Y42:$FS42,MATCH("職員番号*",$Y$4:$FS$4,0))&amp;"","")</f>
        <v/>
      </c>
      <c r="D42" s="8">
        <f>IFERROR(INDEX($Y42:$FS42,MATCH("氏名*",$Y$4:$FS$4,0))&amp;"","")</f>
        <v/>
      </c>
      <c r="E42" s="13" t="n"/>
      <c r="F42" s="16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4" t="n"/>
      <c r="Q42" s="13" t="n"/>
      <c r="R42" s="13" t="n"/>
      <c r="S42" s="13" t="n"/>
      <c r="T42" s="13" t="n"/>
      <c r="U42" s="16" t="n"/>
      <c r="V42" s="13" t="n"/>
      <c r="W42" s="13" t="n"/>
    </row>
    <row r="43">
      <c r="A43" s="12" t="n"/>
      <c r="B43" s="8" t="n"/>
      <c r="C43" s="8">
        <f>IFERROR(INDEX($Y43:$FS43,MATCH("職員番号*",$Y$4:$FS$4,0))&amp;"","")</f>
        <v/>
      </c>
      <c r="D43" s="8">
        <f>IFERROR(INDEX($Y43:$FS43,MATCH("氏名*",$Y$4:$FS$4,0))&amp;"","")</f>
        <v/>
      </c>
      <c r="E43" s="13" t="n"/>
      <c r="F43" s="16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 t="n"/>
      <c r="Q43" s="13" t="n"/>
      <c r="R43" s="13" t="n"/>
      <c r="S43" s="13" t="n"/>
      <c r="T43" s="13" t="n"/>
      <c r="U43" s="16" t="n"/>
      <c r="V43" s="13" t="n"/>
      <c r="W43" s="13" t="n"/>
    </row>
    <row r="44">
      <c r="A44" s="12" t="n"/>
      <c r="B44" s="8" t="n"/>
      <c r="C44" s="8">
        <f>IFERROR(INDEX($Y44:$FS44,MATCH("職員番号*",$Y$4:$FS$4,0))&amp;"","")</f>
        <v/>
      </c>
      <c r="D44" s="8">
        <f>IFERROR(INDEX($Y44:$FS44,MATCH("氏名*",$Y$4:$FS$4,0))&amp;"","")</f>
        <v/>
      </c>
      <c r="E44" s="13" t="n"/>
      <c r="F44" s="16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4" t="n"/>
      <c r="Q44" s="13" t="n"/>
      <c r="R44" s="13" t="n"/>
      <c r="S44" s="13" t="n"/>
      <c r="T44" s="13" t="n"/>
      <c r="U44" s="16" t="n"/>
      <c r="V44" s="13" t="n"/>
      <c r="W44" s="13" t="n"/>
    </row>
    <row r="45">
      <c r="A45" s="12" t="n"/>
      <c r="B45" s="8" t="n"/>
      <c r="C45" s="8">
        <f>IFERROR(INDEX($Y45:$FS45,MATCH("職員番号*",$Y$4:$FS$4,0))&amp;"","")</f>
        <v/>
      </c>
      <c r="D45" s="8">
        <f>IFERROR(INDEX($Y45:$FS45,MATCH("氏名*",$Y$4:$FS$4,0))&amp;"","")</f>
        <v/>
      </c>
      <c r="E45" s="13" t="n"/>
      <c r="F45" s="16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4" t="n"/>
      <c r="Q45" s="13" t="n"/>
      <c r="R45" s="13" t="n"/>
      <c r="S45" s="13" t="n"/>
      <c r="T45" s="13" t="n"/>
      <c r="U45" s="16" t="n"/>
      <c r="V45" s="13" t="n"/>
      <c r="W45" s="13" t="n"/>
    </row>
    <row r="46">
      <c r="A46" s="12" t="n"/>
      <c r="B46" s="8" t="n"/>
      <c r="C46" s="8">
        <f>IFERROR(INDEX($Y46:$FS46,MATCH("職員番号*",$Y$4:$FS$4,0))&amp;"","")</f>
        <v/>
      </c>
      <c r="D46" s="8">
        <f>IFERROR(INDEX($Y46:$FS46,MATCH("氏名*",$Y$4:$FS$4,0))&amp;"","")</f>
        <v/>
      </c>
      <c r="E46" s="13" t="n"/>
      <c r="F46" s="16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4" t="n"/>
      <c r="Q46" s="13" t="n"/>
      <c r="R46" s="13" t="n"/>
      <c r="S46" s="13" t="n"/>
      <c r="T46" s="13" t="n"/>
      <c r="U46" s="16" t="n"/>
      <c r="V46" s="13" t="n"/>
      <c r="W46" s="13" t="n"/>
    </row>
    <row r="47">
      <c r="A47" s="12" t="n"/>
      <c r="B47" s="8" t="n"/>
      <c r="C47" s="8">
        <f>IFERROR(INDEX($Y47:$FS47,MATCH("職員番号*",$Y$4:$FS$4,0))&amp;"","")</f>
        <v/>
      </c>
      <c r="D47" s="8">
        <f>IFERROR(INDEX($Y47:$FS47,MATCH("氏名*",$Y$4:$FS$4,0))&amp;"","")</f>
        <v/>
      </c>
      <c r="E47" s="13" t="n"/>
      <c r="F47" s="16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4" t="n"/>
      <c r="Q47" s="13" t="n"/>
      <c r="R47" s="13" t="n"/>
      <c r="S47" s="13" t="n"/>
      <c r="T47" s="13" t="n"/>
      <c r="U47" s="16" t="n"/>
      <c r="V47" s="13" t="n"/>
      <c r="W47" s="13" t="n"/>
    </row>
    <row r="48">
      <c r="A48" s="12" t="n"/>
      <c r="B48" s="8" t="n"/>
      <c r="C48" s="8">
        <f>IFERROR(INDEX($Y48:$FS48,MATCH("職員番号*",$Y$4:$FS$4,0))&amp;"","")</f>
        <v/>
      </c>
      <c r="D48" s="8">
        <f>IFERROR(INDEX($Y48:$FS48,MATCH("氏名*",$Y$4:$FS$4,0))&amp;"","")</f>
        <v/>
      </c>
      <c r="E48" s="13" t="n"/>
      <c r="F48" s="16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4" t="n"/>
      <c r="Q48" s="13" t="n"/>
      <c r="R48" s="13" t="n"/>
      <c r="S48" s="13" t="n"/>
      <c r="T48" s="13" t="n"/>
      <c r="U48" s="16" t="n"/>
      <c r="V48" s="13" t="n"/>
      <c r="W48" s="13" t="n"/>
    </row>
    <row r="49">
      <c r="A49" s="12" t="n"/>
      <c r="B49" s="8" t="n"/>
      <c r="C49" s="8">
        <f>IFERROR(INDEX($Y49:$FS49,MATCH("職員番号*",$Y$4:$FS$4,0))&amp;"","")</f>
        <v/>
      </c>
      <c r="D49" s="8">
        <f>IFERROR(INDEX($Y49:$FS49,MATCH("氏名*",$Y$4:$FS$4,0))&amp;"","")</f>
        <v/>
      </c>
      <c r="E49" s="13" t="n"/>
      <c r="F49" s="16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4" t="n"/>
      <c r="Q49" s="13" t="n"/>
      <c r="R49" s="13" t="n"/>
      <c r="S49" s="13" t="n"/>
      <c r="T49" s="13" t="n"/>
      <c r="U49" s="16" t="n"/>
      <c r="V49" s="13" t="n"/>
      <c r="W49" s="13" t="n"/>
    </row>
    <row r="50">
      <c r="A50" s="12" t="n"/>
      <c r="B50" s="8" t="n"/>
      <c r="C50" s="8">
        <f>IFERROR(INDEX($Y50:$FS50,MATCH("職員番号*",$Y$4:$FS$4,0))&amp;"","")</f>
        <v/>
      </c>
      <c r="D50" s="8">
        <f>IFERROR(INDEX($Y50:$FS50,MATCH("氏名*",$Y$4:$FS$4,0))&amp;"","")</f>
        <v/>
      </c>
      <c r="E50" s="13" t="n"/>
      <c r="F50" s="16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4" t="n"/>
      <c r="Q50" s="13" t="n"/>
      <c r="R50" s="13" t="n"/>
      <c r="S50" s="13" t="n"/>
      <c r="T50" s="13" t="n"/>
      <c r="U50" s="16" t="n"/>
      <c r="V50" s="13" t="n"/>
      <c r="W50" s="13" t="n"/>
    </row>
    <row r="51">
      <c r="A51" s="12" t="n"/>
      <c r="B51" s="8" t="n"/>
      <c r="C51" s="8">
        <f>IFERROR(INDEX($Y51:$FS51,MATCH("職員番号*",$Y$4:$FS$4,0))&amp;"","")</f>
        <v/>
      </c>
      <c r="D51" s="8">
        <f>IFERROR(INDEX($Y51:$FS51,MATCH("氏名*",$Y$4:$FS$4,0))&amp;"","")</f>
        <v/>
      </c>
      <c r="E51" s="13" t="n"/>
      <c r="F51" s="16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4" t="n"/>
      <c r="Q51" s="13" t="n"/>
      <c r="R51" s="13" t="n"/>
      <c r="S51" s="13" t="n"/>
      <c r="T51" s="13" t="n"/>
      <c r="U51" s="16" t="n"/>
      <c r="V51" s="13" t="n"/>
      <c r="W51" s="13" t="n"/>
    </row>
    <row r="52">
      <c r="A52" s="12" t="n"/>
      <c r="B52" s="8" t="n"/>
      <c r="C52" s="8">
        <f>IFERROR(INDEX($Y52:$FS52,MATCH("職員番号*",$Y$4:$FS$4,0))&amp;"","")</f>
        <v/>
      </c>
      <c r="D52" s="8">
        <f>IFERROR(INDEX($Y52:$FS52,MATCH("氏名*",$Y$4:$FS$4,0))&amp;"","")</f>
        <v/>
      </c>
      <c r="E52" s="13" t="n"/>
      <c r="F52" s="16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4" t="n"/>
      <c r="Q52" s="13" t="n"/>
      <c r="R52" s="13" t="n"/>
      <c r="S52" s="13" t="n"/>
      <c r="T52" s="13" t="n"/>
      <c r="U52" s="16" t="n"/>
      <c r="V52" s="13" t="n"/>
      <c r="W52" s="13" t="n"/>
    </row>
    <row r="53">
      <c r="A53" s="12" t="n"/>
      <c r="B53" s="8" t="n"/>
      <c r="C53" s="8">
        <f>IFERROR(INDEX($Y53:$FS53,MATCH("職員番号*",$Y$4:$FS$4,0))&amp;"","")</f>
        <v/>
      </c>
      <c r="D53" s="8">
        <f>IFERROR(INDEX($Y53:$FS53,MATCH("氏名*",$Y$4:$FS$4,0))&amp;"","")</f>
        <v/>
      </c>
      <c r="E53" s="13" t="n"/>
      <c r="F53" s="16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4" t="n"/>
      <c r="Q53" s="13" t="n"/>
      <c r="R53" s="13" t="n"/>
      <c r="S53" s="13" t="n"/>
      <c r="T53" s="13" t="n"/>
      <c r="U53" s="16" t="n"/>
      <c r="V53" s="13" t="n"/>
      <c r="W53" s="13" t="n"/>
    </row>
    <row r="54">
      <c r="A54" s="12" t="n"/>
      <c r="B54" s="8" t="n"/>
      <c r="C54" s="8">
        <f>IFERROR(INDEX($Y54:$FS54,MATCH("職員番号*",$Y$4:$FS$4,0))&amp;"","")</f>
        <v/>
      </c>
      <c r="D54" s="8">
        <f>IFERROR(INDEX($Y54:$FS54,MATCH("氏名*",$Y$4:$FS$4,0))&amp;"","")</f>
        <v/>
      </c>
      <c r="E54" s="13" t="n"/>
      <c r="F54" s="16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4" t="n"/>
      <c r="Q54" s="13" t="n"/>
      <c r="R54" s="13" t="n"/>
      <c r="S54" s="13" t="n"/>
      <c r="T54" s="13" t="n"/>
      <c r="U54" s="16" t="n"/>
      <c r="V54" s="13" t="n"/>
      <c r="W54" s="13" t="n"/>
    </row>
    <row r="55">
      <c r="A55" s="12" t="n"/>
      <c r="B55" s="8" t="n"/>
      <c r="C55" s="8">
        <f>IFERROR(INDEX($Y55:$FS55,MATCH("職員番号*",$Y$4:$FS$4,0))&amp;"","")</f>
        <v/>
      </c>
      <c r="D55" s="8">
        <f>IFERROR(INDEX($Y55:$FS55,MATCH("氏名*",$Y$4:$FS$4,0))&amp;"","")</f>
        <v/>
      </c>
      <c r="E55" s="13" t="n"/>
      <c r="F55" s="16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4" t="n"/>
      <c r="Q55" s="13" t="n"/>
      <c r="R55" s="13" t="n"/>
      <c r="S55" s="13" t="n"/>
      <c r="T55" s="13" t="n"/>
      <c r="U55" s="16" t="n"/>
      <c r="V55" s="13" t="n"/>
      <c r="W55" s="13" t="n"/>
    </row>
    <row r="56">
      <c r="A56" s="12" t="n"/>
      <c r="B56" s="8" t="n"/>
      <c r="C56" s="8">
        <f>IFERROR(INDEX($Y56:$FS56,MATCH("職員番号*",$Y$4:$FS$4,0))&amp;"","")</f>
        <v/>
      </c>
      <c r="D56" s="8">
        <f>IFERROR(INDEX($Y56:$FS56,MATCH("氏名*",$Y$4:$FS$4,0))&amp;"","")</f>
        <v/>
      </c>
      <c r="E56" s="13" t="n"/>
      <c r="F56" s="16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4" t="n"/>
      <c r="Q56" s="13" t="n"/>
      <c r="R56" s="13" t="n"/>
      <c r="S56" s="13" t="n"/>
      <c r="T56" s="13" t="n"/>
      <c r="U56" s="16" t="n"/>
      <c r="V56" s="13" t="n"/>
      <c r="W56" s="13" t="n"/>
    </row>
    <row r="57">
      <c r="A57" s="12" t="n"/>
      <c r="B57" s="8" t="n"/>
      <c r="C57" s="8">
        <f>IFERROR(INDEX($Y57:$FS57,MATCH("職員番号*",$Y$4:$FS$4,0))&amp;"","")</f>
        <v/>
      </c>
      <c r="D57" s="8">
        <f>IFERROR(INDEX($Y57:$FS57,MATCH("氏名*",$Y$4:$FS$4,0))&amp;"","")</f>
        <v/>
      </c>
      <c r="E57" s="13" t="n"/>
      <c r="F57" s="16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4" t="n"/>
      <c r="Q57" s="13" t="n"/>
      <c r="R57" s="13" t="n"/>
      <c r="S57" s="13" t="n"/>
      <c r="T57" s="13" t="n"/>
      <c r="U57" s="16" t="n"/>
      <c r="V57" s="13" t="n"/>
      <c r="W57" s="13" t="n"/>
    </row>
    <row r="58">
      <c r="A58" s="12" t="n"/>
      <c r="B58" s="8" t="n"/>
      <c r="C58" s="8">
        <f>IFERROR(INDEX($Y58:$FS58,MATCH("職員番号*",$Y$4:$FS$4,0))&amp;"","")</f>
        <v/>
      </c>
      <c r="D58" s="8">
        <f>IFERROR(INDEX($Y58:$FS58,MATCH("氏名*",$Y$4:$FS$4,0))&amp;"","")</f>
        <v/>
      </c>
      <c r="E58" s="13" t="n"/>
      <c r="F58" s="16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4" t="n"/>
      <c r="Q58" s="13" t="n"/>
      <c r="R58" s="13" t="n"/>
      <c r="S58" s="13" t="n"/>
      <c r="T58" s="13" t="n"/>
      <c r="U58" s="16" t="n"/>
      <c r="V58" s="13" t="n"/>
      <c r="W58" s="13" t="n"/>
    </row>
    <row r="59">
      <c r="A59" s="12" t="n"/>
      <c r="B59" s="8" t="n"/>
      <c r="C59" s="8">
        <f>IFERROR(INDEX($Y59:$FS59,MATCH("職員番号*",$Y$4:$FS$4,0))&amp;"","")</f>
        <v/>
      </c>
      <c r="D59" s="8">
        <f>IFERROR(INDEX($Y59:$FS59,MATCH("氏名*",$Y$4:$FS$4,0))&amp;"","")</f>
        <v/>
      </c>
      <c r="E59" s="13" t="n"/>
      <c r="F59" s="16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4" t="n"/>
      <c r="Q59" s="13" t="n"/>
      <c r="R59" s="13" t="n"/>
      <c r="S59" s="13" t="n"/>
      <c r="T59" s="13" t="n"/>
      <c r="U59" s="16" t="n"/>
      <c r="V59" s="13" t="n"/>
      <c r="W59" s="13" t="n"/>
    </row>
    <row r="60">
      <c r="A60" s="12" t="n"/>
      <c r="B60" s="8" t="n"/>
      <c r="C60" s="8">
        <f>IFERROR(INDEX($Y60:$FS60,MATCH("職員番号*",$Y$4:$FS$4,0))&amp;"","")</f>
        <v/>
      </c>
      <c r="D60" s="8">
        <f>IFERROR(INDEX($Y60:$FS60,MATCH("氏名*",$Y$4:$FS$4,0))&amp;"","")</f>
        <v/>
      </c>
      <c r="E60" s="13" t="n"/>
      <c r="F60" s="16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4" t="n"/>
      <c r="Q60" s="13" t="n"/>
      <c r="R60" s="13" t="n"/>
      <c r="S60" s="13" t="n"/>
      <c r="T60" s="13" t="n"/>
      <c r="U60" s="16" t="n"/>
      <c r="V60" s="13" t="n"/>
      <c r="W60" s="13" t="n"/>
    </row>
    <row r="61">
      <c r="A61" s="12" t="n"/>
      <c r="B61" s="8" t="n"/>
      <c r="C61" s="8">
        <f>IFERROR(INDEX($Y61:$FS61,MATCH("職員番号*",$Y$4:$FS$4,0))&amp;"","")</f>
        <v/>
      </c>
      <c r="D61" s="8">
        <f>IFERROR(INDEX($Y61:$FS61,MATCH("氏名*",$Y$4:$FS$4,0))&amp;"","")</f>
        <v/>
      </c>
      <c r="E61" s="13" t="n"/>
      <c r="F61" s="16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4" t="n"/>
      <c r="Q61" s="13" t="n"/>
      <c r="R61" s="13" t="n"/>
      <c r="S61" s="13" t="n"/>
      <c r="T61" s="13" t="n"/>
      <c r="U61" s="16" t="n"/>
      <c r="V61" s="13" t="n"/>
      <c r="W61" s="13" t="n"/>
    </row>
    <row r="62">
      <c r="A62" s="12" t="n"/>
      <c r="B62" s="8" t="n"/>
      <c r="C62" s="8">
        <f>IFERROR(INDEX($Y62:$FS62,MATCH("職員番号*",$Y$4:$FS$4,0))&amp;"","")</f>
        <v/>
      </c>
      <c r="D62" s="8">
        <f>IFERROR(INDEX($Y62:$FS62,MATCH("氏名*",$Y$4:$FS$4,0))&amp;"","")</f>
        <v/>
      </c>
      <c r="E62" s="13" t="n"/>
      <c r="F62" s="16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4" t="n"/>
      <c r="Q62" s="13" t="n"/>
      <c r="R62" s="13" t="n"/>
      <c r="S62" s="13" t="n"/>
      <c r="T62" s="13" t="n"/>
      <c r="U62" s="16" t="n"/>
      <c r="V62" s="13" t="n"/>
      <c r="W62" s="13" t="n"/>
    </row>
    <row r="63">
      <c r="A63" s="12" t="n"/>
      <c r="B63" s="8" t="n"/>
      <c r="C63" s="8">
        <f>IFERROR(INDEX($Y63:$FS63,MATCH("職員番号*",$Y$4:$FS$4,0))&amp;"","")</f>
        <v/>
      </c>
      <c r="D63" s="8">
        <f>IFERROR(INDEX($Y63:$FS63,MATCH("氏名*",$Y$4:$FS$4,0))&amp;"","")</f>
        <v/>
      </c>
      <c r="E63" s="13" t="n"/>
      <c r="F63" s="16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4" t="n"/>
      <c r="Q63" s="13" t="n"/>
      <c r="R63" s="13" t="n"/>
      <c r="S63" s="13" t="n"/>
      <c r="T63" s="13" t="n"/>
      <c r="U63" s="16" t="n"/>
      <c r="V63" s="13" t="n"/>
      <c r="W63" s="13" t="n"/>
    </row>
    <row r="64">
      <c r="A64" s="12" t="n"/>
      <c r="B64" s="8" t="n"/>
      <c r="C64" s="8">
        <f>IFERROR(INDEX($Y64:$FS64,MATCH("職員番号*",$Y$4:$FS$4,0))&amp;"","")</f>
        <v/>
      </c>
      <c r="D64" s="8">
        <f>IFERROR(INDEX($Y64:$FS64,MATCH("氏名*",$Y$4:$FS$4,0))&amp;"","")</f>
        <v/>
      </c>
      <c r="E64" s="13" t="n"/>
      <c r="F64" s="16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4" t="n"/>
      <c r="Q64" s="13" t="n"/>
      <c r="R64" s="13" t="n"/>
      <c r="S64" s="13" t="n"/>
      <c r="T64" s="13" t="n"/>
      <c r="U64" s="16" t="n"/>
      <c r="V64" s="13" t="n"/>
      <c r="W64" s="13" t="n"/>
    </row>
    <row r="65">
      <c r="A65" s="12" t="n"/>
      <c r="B65" s="8" t="n"/>
      <c r="C65" s="8">
        <f>IFERROR(INDEX($Y65:$FS65,MATCH("職員番号*",$Y$4:$FS$4,0))&amp;"","")</f>
        <v/>
      </c>
      <c r="D65" s="8">
        <f>IFERROR(INDEX($Y65:$FS65,MATCH("氏名*",$Y$4:$FS$4,0))&amp;"","")</f>
        <v/>
      </c>
      <c r="E65" s="13" t="n"/>
      <c r="F65" s="16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4" t="n"/>
      <c r="Q65" s="13" t="n"/>
      <c r="R65" s="13" t="n"/>
      <c r="S65" s="13" t="n"/>
      <c r="T65" s="13" t="n"/>
      <c r="U65" s="16" t="n"/>
      <c r="V65" s="13" t="n"/>
      <c r="W65" s="13" t="n"/>
    </row>
    <row r="66">
      <c r="A66" s="12" t="n"/>
      <c r="B66" s="8" t="n"/>
      <c r="C66" s="8">
        <f>IFERROR(INDEX($Y66:$FS66,MATCH("職員番号*",$Y$4:$FS$4,0))&amp;"","")</f>
        <v/>
      </c>
      <c r="D66" s="8">
        <f>IFERROR(INDEX($Y66:$FS66,MATCH("氏名*",$Y$4:$FS$4,0))&amp;"","")</f>
        <v/>
      </c>
      <c r="E66" s="13" t="n"/>
      <c r="F66" s="16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4" t="n"/>
      <c r="Q66" s="13" t="n"/>
      <c r="R66" s="13" t="n"/>
      <c r="S66" s="13" t="n"/>
      <c r="T66" s="13" t="n"/>
      <c r="U66" s="16" t="n"/>
      <c r="V66" s="13" t="n"/>
      <c r="W66" s="13" t="n"/>
    </row>
    <row r="67">
      <c r="A67" s="12" t="n"/>
      <c r="B67" s="8" t="n"/>
      <c r="C67" s="8">
        <f>IFERROR(INDEX($Y67:$FS67,MATCH("職員番号*",$Y$4:$FS$4,0))&amp;"","")</f>
        <v/>
      </c>
      <c r="D67" s="8">
        <f>IFERROR(INDEX($Y67:$FS67,MATCH("氏名*",$Y$4:$FS$4,0))&amp;"","")</f>
        <v/>
      </c>
      <c r="E67" s="13" t="n"/>
      <c r="F67" s="16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4" t="n"/>
      <c r="Q67" s="13" t="n"/>
      <c r="R67" s="13" t="n"/>
      <c r="S67" s="13" t="n"/>
      <c r="T67" s="13" t="n"/>
      <c r="U67" s="16" t="n"/>
      <c r="V67" s="13" t="n"/>
      <c r="W67" s="13" t="n"/>
    </row>
    <row r="68">
      <c r="A68" s="12" t="n"/>
      <c r="B68" s="8" t="n"/>
      <c r="C68" s="8">
        <f>IFERROR(INDEX($Y68:$FS68,MATCH("職員番号*",$Y$4:$FS$4,0))&amp;"","")</f>
        <v/>
      </c>
      <c r="D68" s="8">
        <f>IFERROR(INDEX($Y68:$FS68,MATCH("氏名*",$Y$4:$FS$4,0))&amp;"","")</f>
        <v/>
      </c>
      <c r="E68" s="13" t="n"/>
      <c r="F68" s="16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4" t="n"/>
      <c r="Q68" s="13" t="n"/>
      <c r="R68" s="13" t="n"/>
      <c r="S68" s="13" t="n"/>
      <c r="T68" s="13" t="n"/>
      <c r="U68" s="16" t="n"/>
      <c r="V68" s="13" t="n"/>
      <c r="W68" s="13" t="n"/>
    </row>
    <row r="69">
      <c r="A69" s="12" t="n"/>
      <c r="B69" s="8" t="n"/>
      <c r="C69" s="8">
        <f>IFERROR(INDEX($Y69:$FS69,MATCH("職員番号*",$Y$4:$FS$4,0))&amp;"","")</f>
        <v/>
      </c>
      <c r="D69" s="8">
        <f>IFERROR(INDEX($Y69:$FS69,MATCH("氏名*",$Y$4:$FS$4,0))&amp;"","")</f>
        <v/>
      </c>
      <c r="E69" s="13" t="n"/>
      <c r="F69" s="16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4" t="n"/>
      <c r="Q69" s="13" t="n"/>
      <c r="R69" s="13" t="n"/>
      <c r="S69" s="13" t="n"/>
      <c r="T69" s="13" t="n"/>
      <c r="U69" s="16" t="n"/>
      <c r="V69" s="13" t="n"/>
      <c r="W69" s="13" t="n"/>
    </row>
    <row r="70">
      <c r="A70" s="12" t="n"/>
      <c r="B70" s="8" t="n"/>
      <c r="C70" s="8">
        <f>IFERROR(INDEX($Y70:$FS70,MATCH("職員番号*",$Y$4:$FS$4,0))&amp;"","")</f>
        <v/>
      </c>
      <c r="D70" s="8">
        <f>IFERROR(INDEX($Y70:$FS70,MATCH("氏名*",$Y$4:$FS$4,0))&amp;"","")</f>
        <v/>
      </c>
      <c r="E70" s="13" t="n"/>
      <c r="F70" s="16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4" t="n"/>
      <c r="Q70" s="13" t="n"/>
      <c r="R70" s="13" t="n"/>
      <c r="S70" s="13" t="n"/>
      <c r="T70" s="13" t="n"/>
      <c r="U70" s="16" t="n"/>
      <c r="V70" s="13" t="n"/>
      <c r="W70" s="13" t="n"/>
    </row>
    <row r="71">
      <c r="A71" s="12" t="n"/>
      <c r="B71" s="8" t="n"/>
      <c r="C71" s="8">
        <f>IFERROR(INDEX($Y71:$FS71,MATCH("職員番号*",$Y$4:$FS$4,0))&amp;"","")</f>
        <v/>
      </c>
      <c r="D71" s="8">
        <f>IFERROR(INDEX($Y71:$FS71,MATCH("氏名*",$Y$4:$FS$4,0))&amp;"","")</f>
        <v/>
      </c>
      <c r="E71" s="13" t="n"/>
      <c r="F71" s="16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4" t="n"/>
      <c r="Q71" s="13" t="n"/>
      <c r="R71" s="13" t="n"/>
      <c r="S71" s="13" t="n"/>
      <c r="T71" s="13" t="n"/>
      <c r="U71" s="16" t="n"/>
      <c r="V71" s="13" t="n"/>
      <c r="W71" s="13" t="n"/>
    </row>
    <row r="72">
      <c r="A72" s="12" t="n"/>
      <c r="B72" s="8" t="n"/>
      <c r="C72" s="8">
        <f>IFERROR(INDEX($Y72:$FS72,MATCH("職員番号*",$Y$4:$FS$4,0))&amp;"","")</f>
        <v/>
      </c>
      <c r="D72" s="8">
        <f>IFERROR(INDEX($Y72:$FS72,MATCH("氏名*",$Y$4:$FS$4,0))&amp;"","")</f>
        <v/>
      </c>
      <c r="E72" s="13" t="n"/>
      <c r="F72" s="16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4" t="n"/>
      <c r="Q72" s="13" t="n"/>
      <c r="R72" s="13" t="n"/>
      <c r="S72" s="13" t="n"/>
      <c r="T72" s="13" t="n"/>
      <c r="U72" s="16" t="n"/>
      <c r="V72" s="13" t="n"/>
      <c r="W72" s="13" t="n"/>
    </row>
    <row r="73">
      <c r="A73" s="12" t="n"/>
      <c r="B73" s="8" t="n"/>
      <c r="C73" s="8">
        <f>IFERROR(INDEX($Y73:$FS73,MATCH("職員番号*",$Y$4:$FS$4,0))&amp;"","")</f>
        <v/>
      </c>
      <c r="D73" s="8">
        <f>IFERROR(INDEX($Y73:$FS73,MATCH("氏名*",$Y$4:$FS$4,0))&amp;"","")</f>
        <v/>
      </c>
      <c r="E73" s="13" t="n"/>
      <c r="F73" s="16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4" t="n"/>
      <c r="Q73" s="13" t="n"/>
      <c r="R73" s="13" t="n"/>
      <c r="S73" s="13" t="n"/>
      <c r="T73" s="13" t="n"/>
      <c r="U73" s="16" t="n"/>
      <c r="V73" s="13" t="n"/>
      <c r="W73" s="13" t="n"/>
    </row>
    <row r="74">
      <c r="A74" s="12" t="n"/>
      <c r="B74" s="8" t="n"/>
      <c r="C74" s="8">
        <f>IFERROR(INDEX($Y74:$FS74,MATCH("職員番号*",$Y$4:$FS$4,0))&amp;"","")</f>
        <v/>
      </c>
      <c r="D74" s="8">
        <f>IFERROR(INDEX($Y74:$FS74,MATCH("氏名*",$Y$4:$FS$4,0))&amp;"","")</f>
        <v/>
      </c>
      <c r="E74" s="13" t="n"/>
      <c r="F74" s="16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4" t="n"/>
      <c r="Q74" s="13" t="n"/>
      <c r="R74" s="13" t="n"/>
      <c r="S74" s="13" t="n"/>
      <c r="T74" s="13" t="n"/>
      <c r="U74" s="16" t="n"/>
      <c r="V74" s="13" t="n"/>
      <c r="W74" s="13" t="n"/>
    </row>
    <row r="75">
      <c r="A75" s="12" t="n"/>
      <c r="B75" s="8" t="n"/>
      <c r="C75" s="8">
        <f>IFERROR(INDEX($Y75:$FS75,MATCH("職員番号*",$Y$4:$FS$4,0))&amp;"","")</f>
        <v/>
      </c>
      <c r="D75" s="8">
        <f>IFERROR(INDEX($Y75:$FS75,MATCH("氏名*",$Y$4:$FS$4,0))&amp;"","")</f>
        <v/>
      </c>
      <c r="E75" s="13" t="n"/>
      <c r="F75" s="16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4" t="n"/>
      <c r="Q75" s="13" t="n"/>
      <c r="R75" s="13" t="n"/>
      <c r="S75" s="13" t="n"/>
      <c r="T75" s="13" t="n"/>
      <c r="U75" s="16" t="n"/>
      <c r="V75" s="13" t="n"/>
      <c r="W75" s="13" t="n"/>
    </row>
    <row r="76">
      <c r="A76" s="12" t="n"/>
      <c r="B76" s="8" t="n"/>
      <c r="C76" s="8">
        <f>IFERROR(INDEX($Y76:$FS76,MATCH("職員番号*",$Y$4:$FS$4,0))&amp;"","")</f>
        <v/>
      </c>
      <c r="D76" s="8">
        <f>IFERROR(INDEX($Y76:$FS76,MATCH("氏名*",$Y$4:$FS$4,0))&amp;"","")</f>
        <v/>
      </c>
      <c r="E76" s="13" t="n"/>
      <c r="F76" s="16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4" t="n"/>
      <c r="Q76" s="13" t="n"/>
      <c r="R76" s="13" t="n"/>
      <c r="S76" s="13" t="n"/>
      <c r="T76" s="13" t="n"/>
      <c r="U76" s="16" t="n"/>
      <c r="V76" s="13" t="n"/>
      <c r="W76" s="13" t="n"/>
    </row>
    <row r="77">
      <c r="A77" s="12" t="n"/>
      <c r="B77" s="8" t="n"/>
      <c r="C77" s="8">
        <f>IFERROR(INDEX($Y77:$FS77,MATCH("職員番号*",$Y$4:$FS$4,0))&amp;"","")</f>
        <v/>
      </c>
      <c r="D77" s="8">
        <f>IFERROR(INDEX($Y77:$FS77,MATCH("氏名*",$Y$4:$FS$4,0))&amp;"","")</f>
        <v/>
      </c>
      <c r="E77" s="13" t="n"/>
      <c r="F77" s="16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4" t="n"/>
      <c r="Q77" s="13" t="n"/>
      <c r="R77" s="13" t="n"/>
      <c r="S77" s="13" t="n"/>
      <c r="T77" s="13" t="n"/>
      <c r="U77" s="16" t="n"/>
      <c r="V77" s="13" t="n"/>
      <c r="W77" s="13" t="n"/>
    </row>
    <row r="78">
      <c r="A78" s="12" t="n"/>
      <c r="B78" s="8" t="n"/>
      <c r="C78" s="8">
        <f>IFERROR(INDEX($Y78:$FS78,MATCH("職員番号*",$Y$4:$FS$4,0))&amp;"","")</f>
        <v/>
      </c>
      <c r="D78" s="8">
        <f>IFERROR(INDEX($Y78:$FS78,MATCH("氏名*",$Y$4:$FS$4,0))&amp;"","")</f>
        <v/>
      </c>
      <c r="E78" s="13" t="n"/>
      <c r="F78" s="16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4" t="n"/>
      <c r="Q78" s="13" t="n"/>
      <c r="R78" s="13" t="n"/>
      <c r="S78" s="13" t="n"/>
      <c r="T78" s="13" t="n"/>
      <c r="U78" s="16" t="n"/>
      <c r="V78" s="13" t="n"/>
      <c r="W78" s="13" t="n"/>
    </row>
    <row r="79">
      <c r="A79" s="12" t="n"/>
      <c r="B79" s="8" t="n"/>
      <c r="C79" s="8">
        <f>IFERROR(INDEX($Y79:$FS79,MATCH("職員番号*",$Y$4:$FS$4,0))&amp;"","")</f>
        <v/>
      </c>
      <c r="D79" s="8">
        <f>IFERROR(INDEX($Y79:$FS79,MATCH("氏名*",$Y$4:$FS$4,0))&amp;"","")</f>
        <v/>
      </c>
      <c r="E79" s="13" t="n"/>
      <c r="F79" s="16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4" t="n"/>
      <c r="Q79" s="13" t="n"/>
      <c r="R79" s="13" t="n"/>
      <c r="S79" s="13" t="n"/>
      <c r="T79" s="13" t="n"/>
      <c r="U79" s="16" t="n"/>
      <c r="V79" s="13" t="n"/>
      <c r="W79" s="13" t="n"/>
    </row>
    <row r="80">
      <c r="A80" s="12" t="n"/>
      <c r="B80" s="8" t="n"/>
      <c r="C80" s="8">
        <f>IFERROR(INDEX($Y80:$FS80,MATCH("職員番号*",$Y$4:$FS$4,0))&amp;"","")</f>
        <v/>
      </c>
      <c r="D80" s="8">
        <f>IFERROR(INDEX($Y80:$FS80,MATCH("氏名*",$Y$4:$FS$4,0))&amp;"","")</f>
        <v/>
      </c>
      <c r="E80" s="13" t="n"/>
      <c r="F80" s="16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4" t="n"/>
      <c r="Q80" s="13" t="n"/>
      <c r="R80" s="13" t="n"/>
      <c r="S80" s="13" t="n"/>
      <c r="T80" s="13" t="n"/>
      <c r="U80" s="16" t="n"/>
      <c r="V80" s="13" t="n"/>
      <c r="W80" s="13" t="n"/>
    </row>
    <row r="81">
      <c r="A81" s="12" t="n"/>
      <c r="B81" s="8" t="n"/>
      <c r="C81" s="8">
        <f>IFERROR(INDEX($Y81:$FS81,MATCH("職員番号*",$Y$4:$FS$4,0))&amp;"","")</f>
        <v/>
      </c>
      <c r="D81" s="8">
        <f>IFERROR(INDEX($Y81:$FS81,MATCH("氏名*",$Y$4:$FS$4,0))&amp;"","")</f>
        <v/>
      </c>
      <c r="E81" s="13" t="n"/>
      <c r="F81" s="16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4" t="n"/>
      <c r="Q81" s="13" t="n"/>
      <c r="R81" s="13" t="n"/>
      <c r="S81" s="13" t="n"/>
      <c r="T81" s="13" t="n"/>
      <c r="U81" s="16" t="n"/>
      <c r="V81" s="13" t="n"/>
      <c r="W81" s="13" t="n"/>
    </row>
    <row r="82">
      <c r="A82" s="12" t="n"/>
      <c r="B82" s="8" t="n"/>
      <c r="C82" s="8">
        <f>IFERROR(INDEX($Y82:$FS82,MATCH("職員番号*",$Y$4:$FS$4,0))&amp;"","")</f>
        <v/>
      </c>
      <c r="D82" s="8">
        <f>IFERROR(INDEX($Y82:$FS82,MATCH("氏名*",$Y$4:$FS$4,0))&amp;"","")</f>
        <v/>
      </c>
      <c r="E82" s="13" t="n"/>
      <c r="F82" s="16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4" t="n"/>
      <c r="Q82" s="13" t="n"/>
      <c r="R82" s="13" t="n"/>
      <c r="S82" s="13" t="n"/>
      <c r="T82" s="13" t="n"/>
      <c r="U82" s="16" t="n"/>
      <c r="V82" s="13" t="n"/>
      <c r="W82" s="13" t="n"/>
    </row>
    <row r="83">
      <c r="A83" s="12" t="n"/>
      <c r="B83" s="8" t="n"/>
      <c r="C83" s="8">
        <f>IFERROR(INDEX($Y83:$FS83,MATCH("職員番号*",$Y$4:$FS$4,0))&amp;"","")</f>
        <v/>
      </c>
      <c r="D83" s="8">
        <f>IFERROR(INDEX($Y83:$FS83,MATCH("氏名*",$Y$4:$FS$4,0))&amp;"","")</f>
        <v/>
      </c>
      <c r="E83" s="13" t="n"/>
      <c r="F83" s="16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4" t="n"/>
      <c r="Q83" s="13" t="n"/>
      <c r="R83" s="13" t="n"/>
      <c r="S83" s="13" t="n"/>
      <c r="T83" s="13" t="n"/>
      <c r="U83" s="16" t="n"/>
      <c r="V83" s="13" t="n"/>
      <c r="W83" s="13" t="n"/>
    </row>
    <row r="84">
      <c r="A84" s="12" t="n"/>
      <c r="B84" s="8" t="n"/>
      <c r="C84" s="8">
        <f>IFERROR(INDEX($Y84:$FS84,MATCH("職員番号*",$Y$4:$FS$4,0))&amp;"","")</f>
        <v/>
      </c>
      <c r="D84" s="8">
        <f>IFERROR(INDEX($Y84:$FS84,MATCH("氏名*",$Y$4:$FS$4,0))&amp;"","")</f>
        <v/>
      </c>
      <c r="E84" s="13" t="n"/>
      <c r="F84" s="16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4" t="n"/>
      <c r="Q84" s="13" t="n"/>
      <c r="R84" s="13" t="n"/>
      <c r="S84" s="13" t="n"/>
      <c r="T84" s="13" t="n"/>
      <c r="U84" s="16" t="n"/>
      <c r="V84" s="13" t="n"/>
      <c r="W84" s="13" t="n"/>
    </row>
    <row r="85">
      <c r="A85" s="12" t="n"/>
      <c r="B85" s="8" t="n"/>
      <c r="C85" s="8">
        <f>IFERROR(INDEX($Y85:$FS85,MATCH("職員番号*",$Y$4:$FS$4,0))&amp;"","")</f>
        <v/>
      </c>
      <c r="D85" s="8">
        <f>IFERROR(INDEX($Y85:$FS85,MATCH("氏名*",$Y$4:$FS$4,0))&amp;"","")</f>
        <v/>
      </c>
      <c r="E85" s="13" t="n"/>
      <c r="F85" s="16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4" t="n"/>
      <c r="Q85" s="13" t="n"/>
      <c r="R85" s="13" t="n"/>
      <c r="S85" s="13" t="n"/>
      <c r="T85" s="13" t="n"/>
      <c r="U85" s="16" t="n"/>
      <c r="V85" s="13" t="n"/>
      <c r="W85" s="13" t="n"/>
    </row>
    <row r="86">
      <c r="A86" s="12" t="n"/>
      <c r="B86" s="8" t="n"/>
      <c r="C86" s="8">
        <f>IFERROR(INDEX($Y86:$FS86,MATCH("職員番号*",$Y$4:$FS$4,0))&amp;"","")</f>
        <v/>
      </c>
      <c r="D86" s="8">
        <f>IFERROR(INDEX($Y86:$FS86,MATCH("氏名*",$Y$4:$FS$4,0))&amp;"","")</f>
        <v/>
      </c>
      <c r="E86" s="13" t="n"/>
      <c r="F86" s="16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4" t="n"/>
      <c r="Q86" s="13" t="n"/>
      <c r="R86" s="13" t="n"/>
      <c r="S86" s="13" t="n"/>
      <c r="T86" s="13" t="n"/>
      <c r="U86" s="16" t="n"/>
      <c r="V86" s="13" t="n"/>
      <c r="W86" s="13" t="n"/>
    </row>
    <row r="87">
      <c r="A87" s="12" t="n"/>
      <c r="B87" s="8" t="n"/>
      <c r="C87" s="8">
        <f>IFERROR(INDEX($Y87:$FS87,MATCH("職員番号*",$Y$4:$FS$4,0))&amp;"","")</f>
        <v/>
      </c>
      <c r="D87" s="8">
        <f>IFERROR(INDEX($Y87:$FS87,MATCH("氏名*",$Y$4:$FS$4,0))&amp;"","")</f>
        <v/>
      </c>
      <c r="E87" s="13" t="n"/>
      <c r="F87" s="16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4" t="n"/>
      <c r="Q87" s="13" t="n"/>
      <c r="R87" s="13" t="n"/>
      <c r="S87" s="13" t="n"/>
      <c r="T87" s="13" t="n"/>
      <c r="U87" s="16" t="n"/>
      <c r="V87" s="13" t="n"/>
      <c r="W87" s="13" t="n"/>
    </row>
    <row r="88">
      <c r="A88" s="12" t="n"/>
      <c r="B88" s="8" t="n"/>
      <c r="C88" s="8">
        <f>IFERROR(INDEX($Y88:$FS88,MATCH("職員番号*",$Y$4:$FS$4,0))&amp;"","")</f>
        <v/>
      </c>
      <c r="D88" s="8">
        <f>IFERROR(INDEX($Y88:$FS88,MATCH("氏名*",$Y$4:$FS$4,0))&amp;"","")</f>
        <v/>
      </c>
      <c r="E88" s="13" t="n"/>
      <c r="F88" s="16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4" t="n"/>
      <c r="Q88" s="13" t="n"/>
      <c r="R88" s="13" t="n"/>
      <c r="S88" s="13" t="n"/>
      <c r="T88" s="13" t="n"/>
      <c r="U88" s="16" t="n"/>
      <c r="V88" s="13" t="n"/>
      <c r="W88" s="13" t="n"/>
    </row>
    <row r="89">
      <c r="A89" s="12" t="n"/>
      <c r="B89" s="8" t="n"/>
      <c r="C89" s="8">
        <f>IFERROR(INDEX($Y89:$FS89,MATCH("職員番号*",$Y$4:$FS$4,0))&amp;"","")</f>
        <v/>
      </c>
      <c r="D89" s="8">
        <f>IFERROR(INDEX($Y89:$FS89,MATCH("氏名*",$Y$4:$FS$4,0))&amp;"","")</f>
        <v/>
      </c>
      <c r="E89" s="13" t="n"/>
      <c r="F89" s="16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4" t="n"/>
      <c r="Q89" s="13" t="n"/>
      <c r="R89" s="13" t="n"/>
      <c r="S89" s="13" t="n"/>
      <c r="T89" s="13" t="n"/>
      <c r="U89" s="16" t="n"/>
      <c r="V89" s="13" t="n"/>
      <c r="W89" s="13" t="n"/>
    </row>
    <row r="90">
      <c r="A90" s="12" t="n"/>
      <c r="B90" s="8" t="n"/>
      <c r="C90" s="8">
        <f>IFERROR(INDEX($Y90:$FS90,MATCH("職員番号*",$Y$4:$FS$4,0))&amp;"","")</f>
        <v/>
      </c>
      <c r="D90" s="8">
        <f>IFERROR(INDEX($Y90:$FS90,MATCH("氏名*",$Y$4:$FS$4,0))&amp;"","")</f>
        <v/>
      </c>
      <c r="E90" s="13" t="n"/>
      <c r="F90" s="16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4" t="n"/>
      <c r="Q90" s="13" t="n"/>
      <c r="R90" s="13" t="n"/>
      <c r="S90" s="13" t="n"/>
      <c r="T90" s="13" t="n"/>
      <c r="U90" s="16" t="n"/>
      <c r="V90" s="13" t="n"/>
      <c r="W90" s="13" t="n"/>
    </row>
    <row r="91">
      <c r="A91" s="12" t="n"/>
      <c r="B91" s="8" t="n"/>
      <c r="C91" s="8">
        <f>IFERROR(INDEX($Y91:$FS91,MATCH("職員番号*",$Y$4:$FS$4,0))&amp;"","")</f>
        <v/>
      </c>
      <c r="D91" s="8">
        <f>IFERROR(INDEX($Y91:$FS91,MATCH("氏名*",$Y$4:$FS$4,0))&amp;"","")</f>
        <v/>
      </c>
      <c r="E91" s="13" t="n"/>
      <c r="F91" s="16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4" t="n"/>
      <c r="Q91" s="13" t="n"/>
      <c r="R91" s="13" t="n"/>
      <c r="S91" s="13" t="n"/>
      <c r="T91" s="13" t="n"/>
      <c r="U91" s="16" t="n"/>
      <c r="V91" s="13" t="n"/>
      <c r="W91" s="13" t="n"/>
    </row>
    <row r="92">
      <c r="A92" s="12" t="n"/>
      <c r="B92" s="8" t="n"/>
      <c r="C92" s="8">
        <f>IFERROR(INDEX($Y92:$FS92,MATCH("職員番号*",$Y$4:$FS$4,0))&amp;"","")</f>
        <v/>
      </c>
      <c r="D92" s="8">
        <f>IFERROR(INDEX($Y92:$FS92,MATCH("氏名*",$Y$4:$FS$4,0))&amp;"","")</f>
        <v/>
      </c>
      <c r="E92" s="13" t="n"/>
      <c r="F92" s="16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4" t="n"/>
      <c r="Q92" s="13" t="n"/>
      <c r="R92" s="13" t="n"/>
      <c r="S92" s="13" t="n"/>
      <c r="T92" s="13" t="n"/>
      <c r="U92" s="16" t="n"/>
      <c r="V92" s="13" t="n"/>
      <c r="W92" s="13" t="n"/>
    </row>
    <row r="93">
      <c r="A93" s="12" t="n"/>
      <c r="B93" s="8" t="n"/>
      <c r="C93" s="8">
        <f>IFERROR(INDEX($Y93:$FS93,MATCH("職員番号*",$Y$4:$FS$4,0))&amp;"","")</f>
        <v/>
      </c>
      <c r="D93" s="8">
        <f>IFERROR(INDEX($Y93:$FS93,MATCH("氏名*",$Y$4:$FS$4,0))&amp;"","")</f>
        <v/>
      </c>
      <c r="E93" s="13" t="n"/>
      <c r="F93" s="16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4" t="n"/>
      <c r="Q93" s="13" t="n"/>
      <c r="R93" s="13" t="n"/>
      <c r="S93" s="13" t="n"/>
      <c r="T93" s="13" t="n"/>
      <c r="U93" s="16" t="n"/>
      <c r="V93" s="13" t="n"/>
      <c r="W93" s="13" t="n"/>
    </row>
    <row r="94">
      <c r="A94" s="12" t="n"/>
      <c r="B94" s="8" t="n"/>
      <c r="C94" s="8">
        <f>IFERROR(INDEX($Y94:$FS94,MATCH("職員番号*",$Y$4:$FS$4,0))&amp;"","")</f>
        <v/>
      </c>
      <c r="D94" s="8">
        <f>IFERROR(INDEX($Y94:$FS94,MATCH("氏名*",$Y$4:$FS$4,0))&amp;"","")</f>
        <v/>
      </c>
      <c r="E94" s="13" t="n"/>
      <c r="F94" s="16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4" t="n"/>
      <c r="Q94" s="13" t="n"/>
      <c r="R94" s="13" t="n"/>
      <c r="S94" s="13" t="n"/>
      <c r="T94" s="13" t="n"/>
      <c r="U94" s="16" t="n"/>
      <c r="V94" s="13" t="n"/>
      <c r="W94" s="13" t="n"/>
    </row>
    <row r="95">
      <c r="A95" s="12" t="n"/>
      <c r="B95" s="8" t="n"/>
      <c r="C95" s="8">
        <f>IFERROR(INDEX($Y95:$FS95,MATCH("職員番号*",$Y$4:$FS$4,0))&amp;"","")</f>
        <v/>
      </c>
      <c r="D95" s="8">
        <f>IFERROR(INDEX($Y95:$FS95,MATCH("氏名*",$Y$4:$FS$4,0))&amp;"","")</f>
        <v/>
      </c>
      <c r="E95" s="13" t="n"/>
      <c r="F95" s="16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4" t="n"/>
      <c r="Q95" s="13" t="n"/>
      <c r="R95" s="13" t="n"/>
      <c r="S95" s="13" t="n"/>
      <c r="T95" s="13" t="n"/>
      <c r="U95" s="16" t="n"/>
      <c r="V95" s="13" t="n"/>
      <c r="W95" s="13" t="n"/>
    </row>
    <row r="96">
      <c r="A96" s="12" t="n"/>
      <c r="B96" s="8" t="n"/>
      <c r="C96" s="8">
        <f>IFERROR(INDEX($Y96:$FS96,MATCH("職員番号*",$Y$4:$FS$4,0))&amp;"","")</f>
        <v/>
      </c>
      <c r="D96" s="8">
        <f>IFERROR(INDEX($Y96:$FS96,MATCH("氏名*",$Y$4:$FS$4,0))&amp;"","")</f>
        <v/>
      </c>
      <c r="E96" s="13" t="n"/>
      <c r="F96" s="16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4" t="n"/>
      <c r="Q96" s="13" t="n"/>
      <c r="R96" s="13" t="n"/>
      <c r="S96" s="13" t="n"/>
      <c r="T96" s="13" t="n"/>
      <c r="U96" s="16" t="n"/>
      <c r="V96" s="13" t="n"/>
      <c r="W96" s="13" t="n"/>
    </row>
    <row r="97">
      <c r="A97" s="12" t="n"/>
      <c r="B97" s="8" t="n"/>
      <c r="C97" s="8">
        <f>IFERROR(INDEX($Y97:$FS97,MATCH("職員番号*",$Y$4:$FS$4,0))&amp;"","")</f>
        <v/>
      </c>
      <c r="D97" s="8">
        <f>IFERROR(INDEX($Y97:$FS97,MATCH("氏名*",$Y$4:$FS$4,0))&amp;"","")</f>
        <v/>
      </c>
      <c r="E97" s="13" t="n"/>
      <c r="F97" s="16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4" t="n"/>
      <c r="Q97" s="13" t="n"/>
      <c r="R97" s="13" t="n"/>
      <c r="S97" s="13" t="n"/>
      <c r="T97" s="13" t="n"/>
      <c r="U97" s="16" t="n"/>
      <c r="V97" s="13" t="n"/>
      <c r="W97" s="13" t="n"/>
    </row>
    <row r="98">
      <c r="A98" s="12" t="n"/>
      <c r="B98" s="8" t="n"/>
      <c r="C98" s="8">
        <f>IFERROR(INDEX($Y98:$FS98,MATCH("職員番号*",$Y$4:$FS$4,0))&amp;"","")</f>
        <v/>
      </c>
      <c r="D98" s="8">
        <f>IFERROR(INDEX($Y98:$FS98,MATCH("氏名*",$Y$4:$FS$4,0))&amp;"","")</f>
        <v/>
      </c>
      <c r="E98" s="13" t="n"/>
      <c r="F98" s="16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4" t="n"/>
      <c r="Q98" s="13" t="n"/>
      <c r="R98" s="13" t="n"/>
      <c r="S98" s="13" t="n"/>
      <c r="T98" s="13" t="n"/>
      <c r="U98" s="16" t="n"/>
      <c r="V98" s="13" t="n"/>
      <c r="W98" s="13" t="n"/>
    </row>
    <row r="99">
      <c r="A99" s="12" t="n"/>
      <c r="B99" s="8" t="n"/>
      <c r="C99" s="8">
        <f>IFERROR(INDEX($Y99:$FS99,MATCH("職員番号*",$Y$4:$FS$4,0))&amp;"","")</f>
        <v/>
      </c>
      <c r="D99" s="8">
        <f>IFERROR(INDEX($Y99:$FS99,MATCH("氏名*",$Y$4:$FS$4,0))&amp;"","")</f>
        <v/>
      </c>
      <c r="E99" s="13" t="n"/>
      <c r="F99" s="16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4" t="n"/>
      <c r="Q99" s="13" t="n"/>
      <c r="R99" s="13" t="n"/>
      <c r="S99" s="13" t="n"/>
      <c r="T99" s="13" t="n"/>
      <c r="U99" s="16" t="n"/>
      <c r="V99" s="13" t="n"/>
      <c r="W99" s="13" t="n"/>
    </row>
    <row r="100">
      <c r="A100" s="12" t="n"/>
      <c r="B100" s="8" t="n"/>
      <c r="C100" s="8">
        <f>IFERROR(INDEX($Y100:$FS100,MATCH("職員番号*",$Y$4:$FS$4,0))&amp;"","")</f>
        <v/>
      </c>
      <c r="D100" s="8">
        <f>IFERROR(INDEX($Y100:$FS100,MATCH("氏名*",$Y$4:$FS$4,0))&amp;"","")</f>
        <v/>
      </c>
      <c r="E100" s="13" t="n"/>
      <c r="F100" s="16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4" t="n"/>
      <c r="Q100" s="13" t="n"/>
      <c r="R100" s="13" t="n"/>
      <c r="S100" s="13" t="n"/>
      <c r="T100" s="13" t="n"/>
      <c r="U100" s="16" t="n"/>
      <c r="V100" s="13" t="n"/>
      <c r="W100" s="13" t="n"/>
    </row>
    <row r="101">
      <c r="A101" s="12" t="n"/>
      <c r="B101" s="8" t="n"/>
      <c r="C101" s="8">
        <f>IFERROR(INDEX($Y101:$FS101,MATCH("職員番号*",$Y$4:$FS$4,0))&amp;"","")</f>
        <v/>
      </c>
      <c r="D101" s="8">
        <f>IFERROR(INDEX($Y101:$FS101,MATCH("氏名*",$Y$4:$FS$4,0))&amp;"","")</f>
        <v/>
      </c>
      <c r="E101" s="13" t="n"/>
      <c r="F101" s="16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4" t="n"/>
      <c r="Q101" s="13" t="n"/>
      <c r="R101" s="13" t="n"/>
      <c r="S101" s="13" t="n"/>
      <c r="T101" s="13" t="n"/>
      <c r="U101" s="16" t="n"/>
      <c r="V101" s="13" t="n"/>
      <c r="W101" s="13" t="n"/>
    </row>
    <row r="102">
      <c r="A102" s="12" t="n"/>
      <c r="B102" s="8" t="n"/>
      <c r="C102" s="8">
        <f>IFERROR(INDEX($Y102:$FS102,MATCH("職員番号*",$Y$4:$FS$4,0))&amp;"","")</f>
        <v/>
      </c>
      <c r="D102" s="8">
        <f>IFERROR(INDEX($Y102:$FS102,MATCH("氏名*",$Y$4:$FS$4,0))&amp;"","")</f>
        <v/>
      </c>
      <c r="E102" s="13" t="n"/>
      <c r="F102" s="16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4" t="n"/>
      <c r="Q102" s="13" t="n"/>
      <c r="R102" s="13" t="n"/>
      <c r="S102" s="13" t="n"/>
      <c r="T102" s="13" t="n"/>
      <c r="U102" s="16" t="n"/>
      <c r="V102" s="13" t="n"/>
      <c r="W102" s="13" t="n"/>
    </row>
    <row r="103">
      <c r="A103" s="12" t="n"/>
      <c r="B103" s="8" t="n"/>
      <c r="C103" s="8">
        <f>IFERROR(INDEX($Y103:$FS103,MATCH("職員番号*",$Y$4:$FS$4,0))&amp;"","")</f>
        <v/>
      </c>
      <c r="D103" s="8">
        <f>IFERROR(INDEX($Y103:$FS103,MATCH("氏名*",$Y$4:$FS$4,0))&amp;"","")</f>
        <v/>
      </c>
      <c r="E103" s="13" t="n"/>
      <c r="F103" s="16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4" t="n"/>
      <c r="Q103" s="13" t="n"/>
      <c r="R103" s="13" t="n"/>
      <c r="S103" s="13" t="n"/>
      <c r="T103" s="13" t="n"/>
      <c r="U103" s="16" t="n"/>
      <c r="V103" s="13" t="n"/>
      <c r="W103" s="13" t="n"/>
    </row>
    <row r="104">
      <c r="A104" s="12" t="n"/>
      <c r="B104" s="8" t="n"/>
      <c r="C104" s="8">
        <f>IFERROR(INDEX($Y104:$FS104,MATCH("職員番号*",$Y$4:$FS$4,0))&amp;"","")</f>
        <v/>
      </c>
      <c r="D104" s="8">
        <f>IFERROR(INDEX($Y104:$FS104,MATCH("氏名*",$Y$4:$FS$4,0))&amp;"","")</f>
        <v/>
      </c>
      <c r="E104" s="13" t="n"/>
      <c r="F104" s="16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4" t="n"/>
      <c r="Q104" s="13" t="n"/>
      <c r="R104" s="13" t="n"/>
      <c r="S104" s="13" t="n"/>
      <c r="T104" s="13" t="n"/>
      <c r="U104" s="16" t="n"/>
      <c r="V104" s="13" t="n"/>
      <c r="W104" s="13" t="n"/>
    </row>
    <row r="105">
      <c r="A105" s="12" t="n"/>
      <c r="B105" s="8" t="n"/>
      <c r="C105" s="8">
        <f>IFERROR(INDEX($Y105:$FS105,MATCH("職員番号*",$Y$4:$FS$4,0))&amp;"","")</f>
        <v/>
      </c>
      <c r="D105" s="8">
        <f>IFERROR(INDEX($Y105:$FS105,MATCH("氏名*",$Y$4:$FS$4,0))&amp;"","")</f>
        <v/>
      </c>
      <c r="E105" s="13" t="n"/>
      <c r="F105" s="16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4" t="n"/>
      <c r="Q105" s="13" t="n"/>
      <c r="R105" s="13" t="n"/>
      <c r="S105" s="13" t="n"/>
      <c r="T105" s="13" t="n"/>
      <c r="U105" s="16" t="n"/>
      <c r="V105" s="13" t="n"/>
      <c r="W105" s="13" t="n"/>
    </row>
    <row r="106">
      <c r="A106" s="12" t="n"/>
      <c r="B106" s="8" t="n"/>
      <c r="C106" s="8">
        <f>IFERROR(INDEX($Y106:$FS106,MATCH("職員番号*",$Y$4:$FS$4,0))&amp;"","")</f>
        <v/>
      </c>
      <c r="D106" s="8">
        <f>IFERROR(INDEX($Y106:$FS106,MATCH("氏名*",$Y$4:$FS$4,0))&amp;"","")</f>
        <v/>
      </c>
      <c r="E106" s="13" t="n"/>
      <c r="F106" s="16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4" t="n"/>
      <c r="Q106" s="13" t="n"/>
      <c r="R106" s="13" t="n"/>
      <c r="S106" s="13" t="n"/>
      <c r="T106" s="13" t="n"/>
      <c r="U106" s="16" t="n"/>
      <c r="V106" s="13" t="n"/>
      <c r="W106" s="13" t="n"/>
    </row>
    <row r="107">
      <c r="A107" s="12" t="n"/>
      <c r="B107" s="8" t="n"/>
      <c r="C107" s="8">
        <f>IFERROR(INDEX($Y107:$FS107,MATCH("職員番号*",$Y$4:$FS$4,0))&amp;"","")</f>
        <v/>
      </c>
      <c r="D107" s="8">
        <f>IFERROR(INDEX($Y107:$FS107,MATCH("氏名*",$Y$4:$FS$4,0))&amp;"","")</f>
        <v/>
      </c>
      <c r="E107" s="13" t="n"/>
      <c r="F107" s="16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4" t="n"/>
      <c r="Q107" s="13" t="n"/>
      <c r="R107" s="13" t="n"/>
      <c r="S107" s="13" t="n"/>
      <c r="T107" s="13" t="n"/>
      <c r="U107" s="16" t="n"/>
      <c r="V107" s="13" t="n"/>
      <c r="W107" s="13" t="n"/>
    </row>
    <row r="108">
      <c r="A108" s="12" t="n"/>
      <c r="B108" s="8" t="n"/>
      <c r="C108" s="8">
        <f>IFERROR(INDEX($Y108:$FS108,MATCH("職員番号*",$Y$4:$FS$4,0))&amp;"","")</f>
        <v/>
      </c>
      <c r="D108" s="8">
        <f>IFERROR(INDEX($Y108:$FS108,MATCH("氏名*",$Y$4:$FS$4,0))&amp;"","")</f>
        <v/>
      </c>
      <c r="E108" s="13" t="n"/>
      <c r="F108" s="16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4" t="n"/>
      <c r="Q108" s="13" t="n"/>
      <c r="R108" s="13" t="n"/>
      <c r="S108" s="13" t="n"/>
      <c r="T108" s="13" t="n"/>
      <c r="U108" s="16" t="n"/>
      <c r="V108" s="13" t="n"/>
      <c r="W108" s="13" t="n"/>
    </row>
    <row r="109">
      <c r="A109" s="12" t="n"/>
      <c r="B109" s="8" t="n"/>
      <c r="C109" s="8">
        <f>IFERROR(INDEX($Y109:$FS109,MATCH("職員番号*",$Y$4:$FS$4,0))&amp;"","")</f>
        <v/>
      </c>
      <c r="D109" s="8">
        <f>IFERROR(INDEX($Y109:$FS109,MATCH("氏名*",$Y$4:$FS$4,0))&amp;"","")</f>
        <v/>
      </c>
      <c r="E109" s="13" t="n"/>
      <c r="F109" s="16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4" t="n"/>
      <c r="Q109" s="13" t="n"/>
      <c r="R109" s="13" t="n"/>
      <c r="S109" s="13" t="n"/>
      <c r="T109" s="13" t="n"/>
      <c r="U109" s="16" t="n"/>
      <c r="V109" s="13" t="n"/>
      <c r="W109" s="13" t="n"/>
    </row>
    <row r="110">
      <c r="A110" s="12" t="n"/>
      <c r="B110" s="8" t="n"/>
      <c r="C110" s="8">
        <f>IFERROR(INDEX($Y110:$FS110,MATCH("職員番号*",$Y$4:$FS$4,0))&amp;"","")</f>
        <v/>
      </c>
      <c r="D110" s="8">
        <f>IFERROR(INDEX($Y110:$FS110,MATCH("氏名*",$Y$4:$FS$4,0))&amp;"","")</f>
        <v/>
      </c>
      <c r="E110" s="13" t="n"/>
      <c r="F110" s="16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4" t="n"/>
      <c r="Q110" s="13" t="n"/>
      <c r="R110" s="13" t="n"/>
      <c r="S110" s="13" t="n"/>
      <c r="T110" s="13" t="n"/>
      <c r="U110" s="16" t="n"/>
      <c r="V110" s="13" t="n"/>
      <c r="W110" s="13" t="n"/>
    </row>
    <row r="111">
      <c r="A111" s="12" t="n"/>
      <c r="B111" s="8" t="n"/>
      <c r="C111" s="8">
        <f>IFERROR(INDEX($Y111:$FS111,MATCH("職員番号*",$Y$4:$FS$4,0))&amp;"","")</f>
        <v/>
      </c>
      <c r="D111" s="8">
        <f>IFERROR(INDEX($Y111:$FS111,MATCH("氏名*",$Y$4:$FS$4,0))&amp;"","")</f>
        <v/>
      </c>
      <c r="E111" s="13" t="n"/>
      <c r="F111" s="16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4" t="n"/>
      <c r="Q111" s="13" t="n"/>
      <c r="R111" s="13" t="n"/>
      <c r="S111" s="13" t="n"/>
      <c r="T111" s="13" t="n"/>
      <c r="U111" s="16" t="n"/>
      <c r="V111" s="13" t="n"/>
      <c r="W111" s="13" t="n"/>
    </row>
    <row r="112">
      <c r="A112" s="12" t="n"/>
      <c r="B112" s="8" t="n"/>
      <c r="C112" s="8">
        <f>IFERROR(INDEX($Y112:$FS112,MATCH("職員番号*",$Y$4:$FS$4,0))&amp;"","")</f>
        <v/>
      </c>
      <c r="D112" s="8">
        <f>IFERROR(INDEX($Y112:$FS112,MATCH("氏名*",$Y$4:$FS$4,0))&amp;"","")</f>
        <v/>
      </c>
      <c r="E112" s="13" t="n"/>
      <c r="F112" s="16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4" t="n"/>
      <c r="Q112" s="13" t="n"/>
      <c r="R112" s="13" t="n"/>
      <c r="S112" s="13" t="n"/>
      <c r="T112" s="13" t="n"/>
      <c r="U112" s="16" t="n"/>
      <c r="V112" s="13" t="n"/>
      <c r="W112" s="13" t="n"/>
    </row>
    <row r="113">
      <c r="A113" s="12" t="n"/>
      <c r="B113" s="8" t="n"/>
      <c r="C113" s="8">
        <f>IFERROR(INDEX($Y113:$FS113,MATCH("職員番号*",$Y$4:$FS$4,0))&amp;"","")</f>
        <v/>
      </c>
      <c r="D113" s="8">
        <f>IFERROR(INDEX($Y113:$FS113,MATCH("氏名*",$Y$4:$FS$4,0))&amp;"","")</f>
        <v/>
      </c>
      <c r="E113" s="13" t="n"/>
      <c r="F113" s="16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4" t="n"/>
      <c r="Q113" s="13" t="n"/>
      <c r="R113" s="13" t="n"/>
      <c r="S113" s="13" t="n"/>
      <c r="T113" s="13" t="n"/>
      <c r="U113" s="16" t="n"/>
      <c r="V113" s="13" t="n"/>
      <c r="W113" s="13" t="n"/>
    </row>
    <row r="114">
      <c r="A114" s="12" t="n"/>
      <c r="B114" s="8" t="n"/>
      <c r="C114" s="8">
        <f>IFERROR(INDEX($Y114:$FS114,MATCH("職員番号*",$Y$4:$FS$4,0))&amp;"","")</f>
        <v/>
      </c>
      <c r="D114" s="8">
        <f>IFERROR(INDEX($Y114:$FS114,MATCH("氏名*",$Y$4:$FS$4,0))&amp;"","")</f>
        <v/>
      </c>
      <c r="E114" s="13" t="n"/>
      <c r="F114" s="16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4" t="n"/>
      <c r="Q114" s="13" t="n"/>
      <c r="R114" s="13" t="n"/>
      <c r="S114" s="13" t="n"/>
      <c r="T114" s="13" t="n"/>
      <c r="U114" s="16" t="n"/>
      <c r="V114" s="13" t="n"/>
      <c r="W114" s="13" t="n"/>
    </row>
    <row r="115">
      <c r="A115" s="12" t="n"/>
      <c r="B115" s="8" t="n"/>
      <c r="C115" s="8">
        <f>IFERROR(INDEX($Y115:$FS115,MATCH("職員番号*",$Y$4:$FS$4,0))&amp;"","")</f>
        <v/>
      </c>
      <c r="D115" s="8">
        <f>IFERROR(INDEX($Y115:$FS115,MATCH("氏名*",$Y$4:$FS$4,0))&amp;"","")</f>
        <v/>
      </c>
      <c r="E115" s="13" t="n"/>
      <c r="F115" s="16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4" t="n"/>
      <c r="Q115" s="13" t="n"/>
      <c r="R115" s="13" t="n"/>
      <c r="S115" s="13" t="n"/>
      <c r="T115" s="13" t="n"/>
      <c r="U115" s="16" t="n"/>
      <c r="V115" s="13" t="n"/>
      <c r="W115" s="13" t="n"/>
    </row>
    <row r="116">
      <c r="A116" s="12" t="n"/>
      <c r="B116" s="8" t="n"/>
      <c r="C116" s="8">
        <f>IFERROR(INDEX($Y116:$FS116,MATCH("職員番号*",$Y$4:$FS$4,0))&amp;"","")</f>
        <v/>
      </c>
      <c r="D116" s="8">
        <f>IFERROR(INDEX($Y116:$FS116,MATCH("氏名*",$Y$4:$FS$4,0))&amp;"","")</f>
        <v/>
      </c>
      <c r="E116" s="13" t="n"/>
      <c r="F116" s="16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4" t="n"/>
      <c r="Q116" s="13" t="n"/>
      <c r="R116" s="13" t="n"/>
      <c r="S116" s="13" t="n"/>
      <c r="T116" s="13" t="n"/>
      <c r="U116" s="16" t="n"/>
      <c r="V116" s="13" t="n"/>
      <c r="W116" s="13" t="n"/>
    </row>
    <row r="117">
      <c r="A117" s="12" t="n"/>
      <c r="B117" s="8" t="n"/>
      <c r="C117" s="8">
        <f>IFERROR(INDEX($Y117:$FS117,MATCH("職員番号*",$Y$4:$FS$4,0))&amp;"","")</f>
        <v/>
      </c>
      <c r="D117" s="8">
        <f>IFERROR(INDEX($Y117:$FS117,MATCH("氏名*",$Y$4:$FS$4,0))&amp;"","")</f>
        <v/>
      </c>
      <c r="E117" s="13" t="n"/>
      <c r="F117" s="16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4" t="n"/>
      <c r="Q117" s="13" t="n"/>
      <c r="R117" s="13" t="n"/>
      <c r="S117" s="13" t="n"/>
      <c r="T117" s="13" t="n"/>
      <c r="U117" s="16" t="n"/>
      <c r="V117" s="13" t="n"/>
      <c r="W117" s="13" t="n"/>
    </row>
    <row r="118">
      <c r="A118" s="12" t="n"/>
      <c r="B118" s="8" t="n"/>
      <c r="C118" s="8">
        <f>IFERROR(INDEX($Y118:$FS118,MATCH("職員番号*",$Y$4:$FS$4,0))&amp;"","")</f>
        <v/>
      </c>
      <c r="D118" s="8">
        <f>IFERROR(INDEX($Y118:$FS118,MATCH("氏名*",$Y$4:$FS$4,0))&amp;"","")</f>
        <v/>
      </c>
      <c r="E118" s="13" t="n"/>
      <c r="F118" s="16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4" t="n"/>
      <c r="Q118" s="13" t="n"/>
      <c r="R118" s="13" t="n"/>
      <c r="S118" s="13" t="n"/>
      <c r="T118" s="13" t="n"/>
      <c r="U118" s="16" t="n"/>
      <c r="V118" s="13" t="n"/>
      <c r="W118" s="13" t="n"/>
    </row>
    <row r="119">
      <c r="A119" s="12" t="n"/>
      <c r="B119" s="8" t="n"/>
      <c r="C119" s="8">
        <f>IFERROR(INDEX($Y119:$FS119,MATCH("職員番号*",$Y$4:$FS$4,0))&amp;"","")</f>
        <v/>
      </c>
      <c r="D119" s="8">
        <f>IFERROR(INDEX($Y119:$FS119,MATCH("氏名*",$Y$4:$FS$4,0))&amp;"","")</f>
        <v/>
      </c>
      <c r="E119" s="13" t="n"/>
      <c r="F119" s="16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4" t="n"/>
      <c r="Q119" s="13" t="n"/>
      <c r="R119" s="13" t="n"/>
      <c r="S119" s="13" t="n"/>
      <c r="T119" s="13" t="n"/>
      <c r="U119" s="16" t="n"/>
      <c r="V119" s="13" t="n"/>
      <c r="W119" s="13" t="n"/>
    </row>
    <row r="120">
      <c r="A120" s="12" t="n"/>
      <c r="B120" s="8" t="n"/>
      <c r="C120" s="8">
        <f>IFERROR(INDEX($Y120:$FS120,MATCH("職員番号*",$Y$4:$FS$4,0))&amp;"","")</f>
        <v/>
      </c>
      <c r="D120" s="8">
        <f>IFERROR(INDEX($Y120:$FS120,MATCH("氏名*",$Y$4:$FS$4,0))&amp;"","")</f>
        <v/>
      </c>
      <c r="E120" s="13" t="n"/>
      <c r="F120" s="16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4" t="n"/>
      <c r="Q120" s="13" t="n"/>
      <c r="R120" s="13" t="n"/>
      <c r="S120" s="13" t="n"/>
      <c r="T120" s="13" t="n"/>
      <c r="U120" s="16" t="n"/>
      <c r="V120" s="13" t="n"/>
      <c r="W120" s="13" t="n"/>
    </row>
    <row r="121">
      <c r="A121" s="12" t="n"/>
      <c r="B121" s="8" t="n"/>
      <c r="C121" s="8">
        <f>IFERROR(INDEX($Y121:$FS121,MATCH("職員番号*",$Y$4:$FS$4,0))&amp;"","")</f>
        <v/>
      </c>
      <c r="D121" s="8">
        <f>IFERROR(INDEX($Y121:$FS121,MATCH("氏名*",$Y$4:$FS$4,0))&amp;"","")</f>
        <v/>
      </c>
      <c r="E121" s="13" t="n"/>
      <c r="F121" s="16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4" t="n"/>
      <c r="Q121" s="13" t="n"/>
      <c r="R121" s="13" t="n"/>
      <c r="S121" s="13" t="n"/>
      <c r="T121" s="13" t="n"/>
      <c r="U121" s="16" t="n"/>
      <c r="V121" s="13" t="n"/>
      <c r="W121" s="13" t="n"/>
    </row>
    <row r="122">
      <c r="A122" s="12" t="n"/>
      <c r="B122" s="8" t="n"/>
      <c r="C122" s="8">
        <f>IFERROR(INDEX($Y122:$FS122,MATCH("職員番号*",$Y$4:$FS$4,0))&amp;"","")</f>
        <v/>
      </c>
      <c r="D122" s="8">
        <f>IFERROR(INDEX($Y122:$FS122,MATCH("氏名*",$Y$4:$FS$4,0))&amp;"","")</f>
        <v/>
      </c>
      <c r="E122" s="13" t="n"/>
      <c r="F122" s="16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4" t="n"/>
      <c r="Q122" s="13" t="n"/>
      <c r="R122" s="13" t="n"/>
      <c r="S122" s="13" t="n"/>
      <c r="T122" s="13" t="n"/>
      <c r="U122" s="16" t="n"/>
      <c r="V122" s="13" t="n"/>
      <c r="W122" s="13" t="n"/>
    </row>
    <row r="123">
      <c r="A123" s="12" t="n"/>
      <c r="B123" s="8" t="n"/>
      <c r="C123" s="8">
        <f>IFERROR(INDEX($Y123:$FS123,MATCH("職員番号*",$Y$4:$FS$4,0))&amp;"","")</f>
        <v/>
      </c>
      <c r="D123" s="8">
        <f>IFERROR(INDEX($Y123:$FS123,MATCH("氏名*",$Y$4:$FS$4,0))&amp;"","")</f>
        <v/>
      </c>
      <c r="E123" s="13" t="n"/>
      <c r="F123" s="16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4" t="n"/>
      <c r="Q123" s="13" t="n"/>
      <c r="R123" s="13" t="n"/>
      <c r="S123" s="13" t="n"/>
      <c r="T123" s="13" t="n"/>
      <c r="U123" s="16" t="n"/>
      <c r="V123" s="13" t="n"/>
      <c r="W123" s="13" t="n"/>
    </row>
    <row r="124">
      <c r="A124" s="12" t="n"/>
      <c r="B124" s="8" t="n"/>
      <c r="C124" s="8">
        <f>IFERROR(INDEX($Y124:$FS124,MATCH("職員番号*",$Y$4:$FS$4,0))&amp;"","")</f>
        <v/>
      </c>
      <c r="D124" s="8">
        <f>IFERROR(INDEX($Y124:$FS124,MATCH("氏名*",$Y$4:$FS$4,0))&amp;"","")</f>
        <v/>
      </c>
      <c r="E124" s="13" t="n"/>
      <c r="F124" s="16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4" t="n"/>
      <c r="Q124" s="13" t="n"/>
      <c r="R124" s="13" t="n"/>
      <c r="S124" s="13" t="n"/>
      <c r="T124" s="13" t="n"/>
      <c r="U124" s="16" t="n"/>
      <c r="V124" s="13" t="n"/>
      <c r="W124" s="13" t="n"/>
    </row>
    <row r="125">
      <c r="A125" s="12" t="n"/>
      <c r="B125" s="8" t="n"/>
      <c r="C125" s="8">
        <f>IFERROR(INDEX($Y125:$FS125,MATCH("職員番号*",$Y$4:$FS$4,0))&amp;"","")</f>
        <v/>
      </c>
      <c r="D125" s="8">
        <f>IFERROR(INDEX($Y125:$FS125,MATCH("氏名*",$Y$4:$FS$4,0))&amp;"","")</f>
        <v/>
      </c>
      <c r="E125" s="13" t="n"/>
      <c r="F125" s="16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4" t="n"/>
      <c r="Q125" s="13" t="n"/>
      <c r="R125" s="13" t="n"/>
      <c r="S125" s="13" t="n"/>
      <c r="T125" s="13" t="n"/>
      <c r="U125" s="16" t="n"/>
      <c r="V125" s="13" t="n"/>
      <c r="W125" s="13" t="n"/>
    </row>
    <row r="126">
      <c r="A126" s="12" t="n"/>
      <c r="B126" s="8" t="n"/>
      <c r="C126" s="8">
        <f>IFERROR(INDEX($Y126:$FS126,MATCH("職員番号*",$Y$4:$FS$4,0))&amp;"","")</f>
        <v/>
      </c>
      <c r="D126" s="8">
        <f>IFERROR(INDEX($Y126:$FS126,MATCH("氏名*",$Y$4:$FS$4,0))&amp;"","")</f>
        <v/>
      </c>
      <c r="E126" s="13" t="n"/>
      <c r="F126" s="16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4" t="n"/>
      <c r="Q126" s="13" t="n"/>
      <c r="R126" s="13" t="n"/>
      <c r="S126" s="13" t="n"/>
      <c r="T126" s="13" t="n"/>
      <c r="U126" s="16" t="n"/>
      <c r="V126" s="13" t="n"/>
      <c r="W126" s="13" t="n"/>
    </row>
    <row r="127">
      <c r="A127" s="12" t="n"/>
      <c r="B127" s="8" t="n"/>
      <c r="C127" s="8">
        <f>IFERROR(INDEX($Y127:$FS127,MATCH("職員番号*",$Y$4:$FS$4,0))&amp;"","")</f>
        <v/>
      </c>
      <c r="D127" s="8">
        <f>IFERROR(INDEX($Y127:$FS127,MATCH("氏名*",$Y$4:$FS$4,0))&amp;"","")</f>
        <v/>
      </c>
      <c r="E127" s="13" t="n"/>
      <c r="F127" s="16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4" t="n"/>
      <c r="Q127" s="13" t="n"/>
      <c r="R127" s="13" t="n"/>
      <c r="S127" s="13" t="n"/>
      <c r="T127" s="13" t="n"/>
      <c r="U127" s="16" t="n"/>
      <c r="V127" s="13" t="n"/>
      <c r="W127" s="13" t="n"/>
    </row>
    <row r="128">
      <c r="A128" s="12" t="n"/>
      <c r="B128" s="8" t="n"/>
      <c r="C128" s="8">
        <f>IFERROR(INDEX($Y128:$FS128,MATCH("職員番号*",$Y$4:$FS$4,0))&amp;"","")</f>
        <v/>
      </c>
      <c r="D128" s="8">
        <f>IFERROR(INDEX($Y128:$FS128,MATCH("氏名*",$Y$4:$FS$4,0))&amp;"","")</f>
        <v/>
      </c>
      <c r="E128" s="13" t="n"/>
      <c r="F128" s="16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4" t="n"/>
      <c r="Q128" s="13" t="n"/>
      <c r="R128" s="13" t="n"/>
      <c r="S128" s="13" t="n"/>
      <c r="T128" s="13" t="n"/>
      <c r="U128" s="16" t="n"/>
      <c r="V128" s="13" t="n"/>
      <c r="W128" s="13" t="n"/>
    </row>
    <row r="129">
      <c r="A129" s="12" t="n"/>
      <c r="B129" s="8" t="n"/>
      <c r="C129" s="8">
        <f>IFERROR(INDEX($Y129:$FS129,MATCH("職員番号*",$Y$4:$FS$4,0))&amp;"","")</f>
        <v/>
      </c>
      <c r="D129" s="8">
        <f>IFERROR(INDEX($Y129:$FS129,MATCH("氏名*",$Y$4:$FS$4,0))&amp;"","")</f>
        <v/>
      </c>
      <c r="E129" s="13" t="n"/>
      <c r="F129" s="16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4" t="n"/>
      <c r="Q129" s="13" t="n"/>
      <c r="R129" s="13" t="n"/>
      <c r="S129" s="13" t="n"/>
      <c r="T129" s="13" t="n"/>
      <c r="U129" s="16" t="n"/>
      <c r="V129" s="13" t="n"/>
      <c r="W129" s="13" t="n"/>
    </row>
    <row r="130">
      <c r="A130" s="12" t="n"/>
      <c r="B130" s="8" t="n"/>
      <c r="C130" s="8">
        <f>IFERROR(INDEX($Y130:$FS130,MATCH("職員番号*",$Y$4:$FS$4,0))&amp;"","")</f>
        <v/>
      </c>
      <c r="D130" s="8">
        <f>IFERROR(INDEX($Y130:$FS130,MATCH("氏名*",$Y$4:$FS$4,0))&amp;"","")</f>
        <v/>
      </c>
      <c r="E130" s="13" t="n"/>
      <c r="F130" s="16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4" t="n"/>
      <c r="Q130" s="13" t="n"/>
      <c r="R130" s="13" t="n"/>
      <c r="S130" s="13" t="n"/>
      <c r="T130" s="13" t="n"/>
      <c r="U130" s="16" t="n"/>
      <c r="V130" s="13" t="n"/>
      <c r="W130" s="13" t="n"/>
    </row>
    <row r="131">
      <c r="A131" s="12" t="n"/>
      <c r="B131" s="8" t="n"/>
      <c r="C131" s="8">
        <f>IFERROR(INDEX($Y131:$FS131,MATCH("職員番号*",$Y$4:$FS$4,0))&amp;"","")</f>
        <v/>
      </c>
      <c r="D131" s="8">
        <f>IFERROR(INDEX($Y131:$FS131,MATCH("氏名*",$Y$4:$FS$4,0))&amp;"","")</f>
        <v/>
      </c>
      <c r="E131" s="13" t="n"/>
      <c r="F131" s="16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4" t="n"/>
      <c r="Q131" s="13" t="n"/>
      <c r="R131" s="13" t="n"/>
      <c r="S131" s="13" t="n"/>
      <c r="T131" s="13" t="n"/>
      <c r="U131" s="16" t="n"/>
      <c r="V131" s="13" t="n"/>
      <c r="W131" s="13" t="n"/>
    </row>
    <row r="132">
      <c r="A132" s="12" t="n"/>
      <c r="B132" s="8" t="n"/>
      <c r="C132" s="8">
        <f>IFERROR(INDEX($Y132:$FS132,MATCH("職員番号*",$Y$4:$FS$4,0))&amp;"","")</f>
        <v/>
      </c>
      <c r="D132" s="8">
        <f>IFERROR(INDEX($Y132:$FS132,MATCH("氏名*",$Y$4:$FS$4,0))&amp;"","")</f>
        <v/>
      </c>
      <c r="E132" s="13" t="n"/>
      <c r="F132" s="16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4" t="n"/>
      <c r="Q132" s="13" t="n"/>
      <c r="R132" s="13" t="n"/>
      <c r="S132" s="13" t="n"/>
      <c r="T132" s="13" t="n"/>
      <c r="U132" s="16" t="n"/>
      <c r="V132" s="13" t="n"/>
      <c r="W132" s="13" t="n"/>
    </row>
    <row r="133">
      <c r="A133" s="12" t="n"/>
      <c r="B133" s="8" t="n"/>
      <c r="C133" s="8">
        <f>IFERROR(INDEX($Y133:$FS133,MATCH("職員番号*",$Y$4:$FS$4,0))&amp;"","")</f>
        <v/>
      </c>
      <c r="D133" s="8">
        <f>IFERROR(INDEX($Y133:$FS133,MATCH("氏名*",$Y$4:$FS$4,0))&amp;"","")</f>
        <v/>
      </c>
      <c r="E133" s="13" t="n"/>
      <c r="F133" s="16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4" t="n"/>
      <c r="Q133" s="13" t="n"/>
      <c r="R133" s="13" t="n"/>
      <c r="S133" s="13" t="n"/>
      <c r="T133" s="13" t="n"/>
      <c r="U133" s="16" t="n"/>
      <c r="V133" s="13" t="n"/>
      <c r="W133" s="13" t="n"/>
    </row>
    <row r="134">
      <c r="A134" s="12" t="n"/>
      <c r="B134" s="8" t="n"/>
      <c r="C134" s="8">
        <f>IFERROR(INDEX($Y134:$FS134,MATCH("職員番号*",$Y$4:$FS$4,0))&amp;"","")</f>
        <v/>
      </c>
      <c r="D134" s="8">
        <f>IFERROR(INDEX($Y134:$FS134,MATCH("氏名*",$Y$4:$FS$4,0))&amp;"","")</f>
        <v/>
      </c>
      <c r="E134" s="13" t="n"/>
      <c r="F134" s="16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4" t="n"/>
      <c r="Q134" s="13" t="n"/>
      <c r="R134" s="13" t="n"/>
      <c r="S134" s="13" t="n"/>
      <c r="T134" s="13" t="n"/>
      <c r="U134" s="16" t="n"/>
      <c r="V134" s="13" t="n"/>
      <c r="W134" s="13" t="n"/>
    </row>
    <row r="135">
      <c r="A135" s="12" t="n"/>
      <c r="B135" s="8" t="n"/>
      <c r="C135" s="8">
        <f>IFERROR(INDEX($Y135:$FS135,MATCH("職員番号*",$Y$4:$FS$4,0))&amp;"","")</f>
        <v/>
      </c>
      <c r="D135" s="8">
        <f>IFERROR(INDEX($Y135:$FS135,MATCH("氏名*",$Y$4:$FS$4,0))&amp;"","")</f>
        <v/>
      </c>
      <c r="E135" s="13" t="n"/>
      <c r="F135" s="16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4" t="n"/>
      <c r="Q135" s="13" t="n"/>
      <c r="R135" s="13" t="n"/>
      <c r="S135" s="13" t="n"/>
      <c r="T135" s="13" t="n"/>
      <c r="U135" s="16" t="n"/>
      <c r="V135" s="13" t="n"/>
      <c r="W135" s="13" t="n"/>
    </row>
    <row r="136">
      <c r="A136" s="12" t="n"/>
      <c r="B136" s="8" t="n"/>
      <c r="C136" s="8">
        <f>IFERROR(INDEX($Y136:$FS136,MATCH("職員番号*",$Y$4:$FS$4,0))&amp;"","")</f>
        <v/>
      </c>
      <c r="D136" s="8">
        <f>IFERROR(INDEX($Y136:$FS136,MATCH("氏名*",$Y$4:$FS$4,0))&amp;"","")</f>
        <v/>
      </c>
      <c r="E136" s="13" t="n"/>
      <c r="F136" s="16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4" t="n"/>
      <c r="Q136" s="13" t="n"/>
      <c r="R136" s="13" t="n"/>
      <c r="S136" s="13" t="n"/>
      <c r="T136" s="13" t="n"/>
      <c r="U136" s="16" t="n"/>
      <c r="V136" s="13" t="n"/>
      <c r="W136" s="13" t="n"/>
    </row>
    <row r="137">
      <c r="A137" s="12" t="n"/>
      <c r="B137" s="8" t="n"/>
      <c r="C137" s="8">
        <f>IFERROR(INDEX($Y137:$FS137,MATCH("職員番号*",$Y$4:$FS$4,0))&amp;"","")</f>
        <v/>
      </c>
      <c r="D137" s="8">
        <f>IFERROR(INDEX($Y137:$FS137,MATCH("氏名*",$Y$4:$FS$4,0))&amp;"","")</f>
        <v/>
      </c>
      <c r="E137" s="13" t="n"/>
      <c r="F137" s="16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4" t="n"/>
      <c r="Q137" s="13" t="n"/>
      <c r="R137" s="13" t="n"/>
      <c r="S137" s="13" t="n"/>
      <c r="T137" s="13" t="n"/>
      <c r="U137" s="16" t="n"/>
      <c r="V137" s="13" t="n"/>
      <c r="W137" s="13" t="n"/>
    </row>
    <row r="138">
      <c r="A138" s="12" t="n"/>
      <c r="B138" s="8" t="n"/>
      <c r="C138" s="8">
        <f>IFERROR(INDEX($Y138:$FS138,MATCH("職員番号*",$Y$4:$FS$4,0))&amp;"","")</f>
        <v/>
      </c>
      <c r="D138" s="8">
        <f>IFERROR(INDEX($Y138:$FS138,MATCH("氏名*",$Y$4:$FS$4,0))&amp;"","")</f>
        <v/>
      </c>
      <c r="E138" s="13" t="n"/>
      <c r="F138" s="16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4" t="n"/>
      <c r="Q138" s="13" t="n"/>
      <c r="R138" s="13" t="n"/>
      <c r="S138" s="13" t="n"/>
      <c r="T138" s="13" t="n"/>
      <c r="U138" s="16" t="n"/>
      <c r="V138" s="13" t="n"/>
      <c r="W138" s="13" t="n"/>
    </row>
    <row r="139">
      <c r="A139" s="12" t="n"/>
      <c r="B139" s="8" t="n"/>
      <c r="C139" s="8">
        <f>IFERROR(INDEX($Y139:$FS139,MATCH("職員番号*",$Y$4:$FS$4,0))&amp;"","")</f>
        <v/>
      </c>
      <c r="D139" s="8">
        <f>IFERROR(INDEX($Y139:$FS139,MATCH("氏名*",$Y$4:$FS$4,0))&amp;"","")</f>
        <v/>
      </c>
      <c r="E139" s="13" t="n"/>
      <c r="F139" s="16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4" t="n"/>
      <c r="Q139" s="13" t="n"/>
      <c r="R139" s="13" t="n"/>
      <c r="S139" s="13" t="n"/>
      <c r="T139" s="13" t="n"/>
      <c r="U139" s="16" t="n"/>
      <c r="V139" s="13" t="n"/>
      <c r="W139" s="13" t="n"/>
    </row>
    <row r="140">
      <c r="A140" s="12" t="n"/>
      <c r="B140" s="8" t="n"/>
      <c r="C140" s="8">
        <f>IFERROR(INDEX($Y140:$FS140,MATCH("職員番号*",$Y$4:$FS$4,0))&amp;"","")</f>
        <v/>
      </c>
      <c r="D140" s="8">
        <f>IFERROR(INDEX($Y140:$FS140,MATCH("氏名*",$Y$4:$FS$4,0))&amp;"","")</f>
        <v/>
      </c>
      <c r="E140" s="13" t="n"/>
      <c r="F140" s="16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4" t="n"/>
      <c r="Q140" s="13" t="n"/>
      <c r="R140" s="13" t="n"/>
      <c r="S140" s="13" t="n"/>
      <c r="T140" s="13" t="n"/>
      <c r="U140" s="16" t="n"/>
      <c r="V140" s="13" t="n"/>
      <c r="W140" s="13" t="n"/>
    </row>
    <row r="141">
      <c r="A141" s="12" t="n"/>
      <c r="B141" s="8" t="n"/>
      <c r="C141" s="8">
        <f>IFERROR(INDEX($Y141:$FS141,MATCH("職員番号*",$Y$4:$FS$4,0))&amp;"","")</f>
        <v/>
      </c>
      <c r="D141" s="8">
        <f>IFERROR(INDEX($Y141:$FS141,MATCH("氏名*",$Y$4:$FS$4,0))&amp;"","")</f>
        <v/>
      </c>
      <c r="E141" s="13" t="n"/>
      <c r="F141" s="16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4" t="n"/>
      <c r="Q141" s="13" t="n"/>
      <c r="R141" s="13" t="n"/>
      <c r="S141" s="13" t="n"/>
      <c r="T141" s="13" t="n"/>
      <c r="U141" s="16" t="n"/>
      <c r="V141" s="13" t="n"/>
      <c r="W141" s="13" t="n"/>
    </row>
    <row r="142">
      <c r="A142" s="12" t="n"/>
      <c r="B142" s="8" t="n"/>
      <c r="C142" s="8">
        <f>IFERROR(INDEX($Y142:$FS142,MATCH("職員番号*",$Y$4:$FS$4,0))&amp;"","")</f>
        <v/>
      </c>
      <c r="D142" s="8">
        <f>IFERROR(INDEX($Y142:$FS142,MATCH("氏名*",$Y$4:$FS$4,0))&amp;"","")</f>
        <v/>
      </c>
      <c r="E142" s="13" t="n"/>
      <c r="F142" s="16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4" t="n"/>
      <c r="Q142" s="13" t="n"/>
      <c r="R142" s="13" t="n"/>
      <c r="S142" s="13" t="n"/>
      <c r="T142" s="13" t="n"/>
      <c r="U142" s="16" t="n"/>
      <c r="V142" s="13" t="n"/>
      <c r="W142" s="13" t="n"/>
    </row>
    <row r="143">
      <c r="A143" s="12" t="n"/>
      <c r="B143" s="8" t="n"/>
      <c r="C143" s="8">
        <f>IFERROR(INDEX($Y143:$FS143,MATCH("職員番号*",$Y$4:$FS$4,0))&amp;"","")</f>
        <v/>
      </c>
      <c r="D143" s="8">
        <f>IFERROR(INDEX($Y143:$FS143,MATCH("氏名*",$Y$4:$FS$4,0))&amp;"","")</f>
        <v/>
      </c>
      <c r="E143" s="13" t="n"/>
      <c r="F143" s="16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4" t="n"/>
      <c r="Q143" s="13" t="n"/>
      <c r="R143" s="13" t="n"/>
      <c r="S143" s="13" t="n"/>
      <c r="T143" s="13" t="n"/>
      <c r="U143" s="16" t="n"/>
      <c r="V143" s="13" t="n"/>
      <c r="W143" s="13" t="n"/>
    </row>
    <row r="144">
      <c r="A144" s="12" t="n"/>
      <c r="B144" s="8" t="n"/>
      <c r="C144" s="8">
        <f>IFERROR(INDEX($Y144:$FS144,MATCH("職員番号*",$Y$4:$FS$4,0))&amp;"","")</f>
        <v/>
      </c>
      <c r="D144" s="8">
        <f>IFERROR(INDEX($Y144:$FS144,MATCH("氏名*",$Y$4:$FS$4,0))&amp;"","")</f>
        <v/>
      </c>
      <c r="E144" s="13" t="n"/>
      <c r="F144" s="16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4" t="n"/>
      <c r="Q144" s="13" t="n"/>
      <c r="R144" s="13" t="n"/>
      <c r="S144" s="13" t="n"/>
      <c r="T144" s="13" t="n"/>
      <c r="U144" s="16" t="n"/>
      <c r="V144" s="13" t="n"/>
      <c r="W144" s="13" t="n"/>
    </row>
    <row r="145">
      <c r="A145" s="12" t="n"/>
      <c r="B145" s="8" t="n"/>
      <c r="C145" s="8">
        <f>IFERROR(INDEX($Y145:$FS145,MATCH("職員番号*",$Y$4:$FS$4,0))&amp;"","")</f>
        <v/>
      </c>
      <c r="D145" s="8">
        <f>IFERROR(INDEX($Y145:$FS145,MATCH("氏名*",$Y$4:$FS$4,0))&amp;"","")</f>
        <v/>
      </c>
      <c r="E145" s="13" t="n"/>
      <c r="F145" s="16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4" t="n"/>
      <c r="Q145" s="13" t="n"/>
      <c r="R145" s="13" t="n"/>
      <c r="S145" s="13" t="n"/>
      <c r="T145" s="13" t="n"/>
      <c r="U145" s="16" t="n"/>
      <c r="V145" s="13" t="n"/>
      <c r="W145" s="13" t="n"/>
    </row>
    <row r="146">
      <c r="A146" s="12" t="n"/>
      <c r="B146" s="8" t="n"/>
      <c r="C146" s="8">
        <f>IFERROR(INDEX($Y146:$FS146,MATCH("職員番号*",$Y$4:$FS$4,0))&amp;"","")</f>
        <v/>
      </c>
      <c r="D146" s="8">
        <f>IFERROR(INDEX($Y146:$FS146,MATCH("氏名*",$Y$4:$FS$4,0))&amp;"","")</f>
        <v/>
      </c>
      <c r="E146" s="13" t="n"/>
      <c r="F146" s="16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4" t="n"/>
      <c r="Q146" s="13" t="n"/>
      <c r="R146" s="13" t="n"/>
      <c r="S146" s="13" t="n"/>
      <c r="T146" s="13" t="n"/>
      <c r="U146" s="16" t="n"/>
      <c r="V146" s="13" t="n"/>
      <c r="W146" s="13" t="n"/>
    </row>
    <row r="147">
      <c r="A147" s="12" t="n"/>
      <c r="B147" s="8" t="n"/>
      <c r="C147" s="8">
        <f>IFERROR(INDEX($Y147:$FS147,MATCH("職員番号*",$Y$4:$FS$4,0))&amp;"","")</f>
        <v/>
      </c>
      <c r="D147" s="8">
        <f>IFERROR(INDEX($Y147:$FS147,MATCH("氏名*",$Y$4:$FS$4,0))&amp;"","")</f>
        <v/>
      </c>
      <c r="E147" s="13" t="n"/>
      <c r="F147" s="16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4" t="n"/>
      <c r="Q147" s="13" t="n"/>
      <c r="R147" s="13" t="n"/>
      <c r="S147" s="13" t="n"/>
      <c r="T147" s="13" t="n"/>
      <c r="U147" s="16" t="n"/>
      <c r="V147" s="13" t="n"/>
      <c r="W147" s="13" t="n"/>
    </row>
    <row r="148">
      <c r="A148" s="12" t="n"/>
      <c r="B148" s="8" t="n"/>
      <c r="C148" s="8">
        <f>IFERROR(INDEX($Y148:$FS148,MATCH("職員番号*",$Y$4:$FS$4,0))&amp;"","")</f>
        <v/>
      </c>
      <c r="D148" s="8">
        <f>IFERROR(INDEX($Y148:$FS148,MATCH("氏名*",$Y$4:$FS$4,0))&amp;"","")</f>
        <v/>
      </c>
      <c r="E148" s="13" t="n"/>
      <c r="F148" s="16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4" t="n"/>
      <c r="Q148" s="13" t="n"/>
      <c r="R148" s="13" t="n"/>
      <c r="S148" s="13" t="n"/>
      <c r="T148" s="13" t="n"/>
      <c r="U148" s="16" t="n"/>
      <c r="V148" s="13" t="n"/>
      <c r="W148" s="13" t="n"/>
    </row>
    <row r="149">
      <c r="A149" s="12" t="n"/>
      <c r="B149" s="8" t="n"/>
      <c r="C149" s="8">
        <f>IFERROR(INDEX($Y149:$FS149,MATCH("職員番号*",$Y$4:$FS$4,0))&amp;"","")</f>
        <v/>
      </c>
      <c r="D149" s="8">
        <f>IFERROR(INDEX($Y149:$FS149,MATCH("氏名*",$Y$4:$FS$4,0))&amp;"","")</f>
        <v/>
      </c>
      <c r="E149" s="13" t="n"/>
      <c r="F149" s="16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4" t="n"/>
      <c r="Q149" s="13" t="n"/>
      <c r="R149" s="13" t="n"/>
      <c r="S149" s="13" t="n"/>
      <c r="T149" s="13" t="n"/>
      <c r="U149" s="16" t="n"/>
      <c r="V149" s="13" t="n"/>
      <c r="W149" s="13" t="n"/>
    </row>
    <row r="150">
      <c r="A150" s="12" t="n"/>
      <c r="B150" s="8" t="n"/>
      <c r="C150" s="8">
        <f>IFERROR(INDEX($Y150:$FS150,MATCH("職員番号*",$Y$4:$FS$4,0))&amp;"","")</f>
        <v/>
      </c>
      <c r="D150" s="8">
        <f>IFERROR(INDEX($Y150:$FS150,MATCH("氏名*",$Y$4:$FS$4,0))&amp;"","")</f>
        <v/>
      </c>
      <c r="E150" s="13" t="n"/>
      <c r="F150" s="16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4" t="n"/>
      <c r="Q150" s="13" t="n"/>
      <c r="R150" s="13" t="n"/>
      <c r="S150" s="13" t="n"/>
      <c r="T150" s="13" t="n"/>
      <c r="U150" s="16" t="n"/>
      <c r="V150" s="13" t="n"/>
      <c r="W150" s="13" t="n"/>
    </row>
    <row r="151">
      <c r="A151" s="12" t="n"/>
      <c r="B151" s="8" t="n"/>
      <c r="C151" s="8">
        <f>IFERROR(INDEX($Y151:$FS151,MATCH("職員番号*",$Y$4:$FS$4,0))&amp;"","")</f>
        <v/>
      </c>
      <c r="D151" s="8">
        <f>IFERROR(INDEX($Y151:$FS151,MATCH("氏名*",$Y$4:$FS$4,0))&amp;"","")</f>
        <v/>
      </c>
      <c r="E151" s="13" t="n"/>
      <c r="F151" s="16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4" t="n"/>
      <c r="Q151" s="13" t="n"/>
      <c r="R151" s="13" t="n"/>
      <c r="S151" s="13" t="n"/>
      <c r="T151" s="13" t="n"/>
      <c r="U151" s="16" t="n"/>
      <c r="V151" s="13" t="n"/>
      <c r="W151" s="13" t="n"/>
    </row>
    <row r="152">
      <c r="A152" s="12" t="n"/>
      <c r="B152" s="8" t="n"/>
      <c r="C152" s="8">
        <f>IFERROR(INDEX($Y152:$FS152,MATCH("職員番号*",$Y$4:$FS$4,0))&amp;"","")</f>
        <v/>
      </c>
      <c r="D152" s="8">
        <f>IFERROR(INDEX($Y152:$FS152,MATCH("氏名*",$Y$4:$FS$4,0))&amp;"","")</f>
        <v/>
      </c>
      <c r="E152" s="13" t="n"/>
      <c r="F152" s="16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4" t="n"/>
      <c r="Q152" s="13" t="n"/>
      <c r="R152" s="13" t="n"/>
      <c r="S152" s="13" t="n"/>
      <c r="T152" s="13" t="n"/>
      <c r="U152" s="16" t="n"/>
      <c r="V152" s="13" t="n"/>
      <c r="W152" s="13" t="n"/>
    </row>
    <row r="153">
      <c r="A153" s="12" t="n"/>
      <c r="B153" s="8" t="n"/>
      <c r="C153" s="8">
        <f>IFERROR(INDEX($Y153:$FS153,MATCH("職員番号*",$Y$4:$FS$4,0))&amp;"","")</f>
        <v/>
      </c>
      <c r="D153" s="8">
        <f>IFERROR(INDEX($Y153:$FS153,MATCH("氏名*",$Y$4:$FS$4,0))&amp;"","")</f>
        <v/>
      </c>
      <c r="E153" s="13" t="n"/>
      <c r="F153" s="16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4" t="n"/>
      <c r="Q153" s="13" t="n"/>
      <c r="R153" s="13" t="n"/>
      <c r="S153" s="13" t="n"/>
      <c r="T153" s="13" t="n"/>
      <c r="U153" s="16" t="n"/>
      <c r="V153" s="13" t="n"/>
      <c r="W153" s="13" t="n"/>
    </row>
    <row r="154">
      <c r="A154" s="12" t="n"/>
      <c r="B154" s="8" t="n"/>
      <c r="C154" s="8">
        <f>IFERROR(INDEX($Y154:$FS154,MATCH("職員番号*",$Y$4:$FS$4,0))&amp;"","")</f>
        <v/>
      </c>
      <c r="D154" s="8">
        <f>IFERROR(INDEX($Y154:$FS154,MATCH("氏名*",$Y$4:$FS$4,0))&amp;"","")</f>
        <v/>
      </c>
      <c r="E154" s="13" t="n"/>
      <c r="F154" s="16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4" t="n"/>
      <c r="Q154" s="13" t="n"/>
      <c r="R154" s="13" t="n"/>
      <c r="S154" s="13" t="n"/>
      <c r="T154" s="13" t="n"/>
      <c r="U154" s="16" t="n"/>
      <c r="V154" s="13" t="n"/>
      <c r="W154" s="13" t="n"/>
    </row>
    <row r="155">
      <c r="A155" s="12" t="n"/>
      <c r="B155" s="8" t="n"/>
      <c r="C155" s="8">
        <f>IFERROR(INDEX($Y155:$FS155,MATCH("職員番号*",$Y$4:$FS$4,0))&amp;"","")</f>
        <v/>
      </c>
      <c r="D155" s="8">
        <f>IFERROR(INDEX($Y155:$FS155,MATCH("氏名*",$Y$4:$FS$4,0))&amp;"","")</f>
        <v/>
      </c>
      <c r="E155" s="13" t="n"/>
      <c r="F155" s="16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4" t="n"/>
      <c r="Q155" s="13" t="n"/>
      <c r="R155" s="13" t="n"/>
      <c r="S155" s="13" t="n"/>
      <c r="T155" s="13" t="n"/>
      <c r="U155" s="16" t="n"/>
      <c r="V155" s="13" t="n"/>
      <c r="W155" s="13" t="n"/>
    </row>
    <row r="156">
      <c r="A156" s="12" t="n"/>
      <c r="B156" s="8" t="n"/>
      <c r="C156" s="8">
        <f>IFERROR(INDEX($Y156:$FS156,MATCH("職員番号*",$Y$4:$FS$4,0))&amp;"","")</f>
        <v/>
      </c>
      <c r="D156" s="8">
        <f>IFERROR(INDEX($Y156:$FS156,MATCH("氏名*",$Y$4:$FS$4,0))&amp;"","")</f>
        <v/>
      </c>
      <c r="E156" s="13" t="n"/>
      <c r="F156" s="16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4" t="n"/>
      <c r="Q156" s="13" t="n"/>
      <c r="R156" s="13" t="n"/>
      <c r="S156" s="13" t="n"/>
      <c r="T156" s="13" t="n"/>
      <c r="U156" s="16" t="n"/>
      <c r="V156" s="13" t="n"/>
      <c r="W156" s="13" t="n"/>
    </row>
    <row r="157">
      <c r="A157" s="12" t="n"/>
      <c r="B157" s="8" t="n"/>
      <c r="C157" s="8">
        <f>IFERROR(INDEX($Y157:$FS157,MATCH("職員番号*",$Y$4:$FS$4,0))&amp;"","")</f>
        <v/>
      </c>
      <c r="D157" s="8">
        <f>IFERROR(INDEX($Y157:$FS157,MATCH("氏名*",$Y$4:$FS$4,0))&amp;"","")</f>
        <v/>
      </c>
      <c r="E157" s="13" t="n"/>
      <c r="F157" s="16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4" t="n"/>
      <c r="Q157" s="13" t="n"/>
      <c r="R157" s="13" t="n"/>
      <c r="S157" s="13" t="n"/>
      <c r="T157" s="13" t="n"/>
      <c r="U157" s="16" t="n"/>
      <c r="V157" s="13" t="n"/>
      <c r="W157" s="13" t="n"/>
    </row>
    <row r="158">
      <c r="A158" s="12" t="n"/>
      <c r="B158" s="8" t="n"/>
      <c r="C158" s="8">
        <f>IFERROR(INDEX($Y158:$FS158,MATCH("職員番号*",$Y$4:$FS$4,0))&amp;"","")</f>
        <v/>
      </c>
      <c r="D158" s="8">
        <f>IFERROR(INDEX($Y158:$FS158,MATCH("氏名*",$Y$4:$FS$4,0))&amp;"","")</f>
        <v/>
      </c>
      <c r="E158" s="13" t="n"/>
      <c r="F158" s="16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4" t="n"/>
      <c r="Q158" s="13" t="n"/>
      <c r="R158" s="13" t="n"/>
      <c r="S158" s="13" t="n"/>
      <c r="T158" s="13" t="n"/>
      <c r="U158" s="16" t="n"/>
      <c r="V158" s="13" t="n"/>
      <c r="W158" s="13" t="n"/>
    </row>
    <row r="159">
      <c r="A159" s="12" t="n"/>
      <c r="B159" s="8" t="n"/>
      <c r="C159" s="8">
        <f>IFERROR(INDEX($Y159:$FS159,MATCH("職員番号*",$Y$4:$FS$4,0))&amp;"","")</f>
        <v/>
      </c>
      <c r="D159" s="8">
        <f>IFERROR(INDEX($Y159:$FS159,MATCH("氏名*",$Y$4:$FS$4,0))&amp;"","")</f>
        <v/>
      </c>
      <c r="E159" s="13" t="n"/>
      <c r="F159" s="16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4" t="n"/>
      <c r="Q159" s="13" t="n"/>
      <c r="R159" s="13" t="n"/>
      <c r="S159" s="13" t="n"/>
      <c r="T159" s="13" t="n"/>
      <c r="U159" s="16" t="n"/>
      <c r="V159" s="13" t="n"/>
      <c r="W159" s="13" t="n"/>
    </row>
    <row r="160">
      <c r="A160" s="12" t="n"/>
      <c r="B160" s="8" t="n"/>
      <c r="C160" s="8">
        <f>IFERROR(INDEX($Y160:$FS160,MATCH("職員番号*",$Y$4:$FS$4,0))&amp;"","")</f>
        <v/>
      </c>
      <c r="D160" s="8">
        <f>IFERROR(INDEX($Y160:$FS160,MATCH("氏名*",$Y$4:$FS$4,0))&amp;"","")</f>
        <v/>
      </c>
      <c r="E160" s="13" t="n"/>
      <c r="F160" s="16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4" t="n"/>
      <c r="Q160" s="13" t="n"/>
      <c r="R160" s="13" t="n"/>
      <c r="S160" s="13" t="n"/>
      <c r="T160" s="13" t="n"/>
      <c r="U160" s="16" t="n"/>
      <c r="V160" s="13" t="n"/>
      <c r="W160" s="13" t="n"/>
    </row>
    <row r="161">
      <c r="A161" s="12" t="n"/>
      <c r="B161" s="8" t="n"/>
      <c r="C161" s="8">
        <f>IFERROR(INDEX($Y161:$FS161,MATCH("職員番号*",$Y$4:$FS$4,0))&amp;"","")</f>
        <v/>
      </c>
      <c r="D161" s="8">
        <f>IFERROR(INDEX($Y161:$FS161,MATCH("氏名*",$Y$4:$FS$4,0))&amp;"","")</f>
        <v/>
      </c>
      <c r="E161" s="13" t="n"/>
      <c r="F161" s="16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4" t="n"/>
      <c r="Q161" s="13" t="n"/>
      <c r="R161" s="13" t="n"/>
      <c r="S161" s="13" t="n"/>
      <c r="T161" s="13" t="n"/>
      <c r="U161" s="16" t="n"/>
      <c r="V161" s="13" t="n"/>
      <c r="W161" s="13" t="n"/>
    </row>
    <row r="162">
      <c r="A162" s="12" t="n"/>
      <c r="B162" s="8" t="n"/>
      <c r="C162" s="8">
        <f>IFERROR(INDEX($Y162:$FS162,MATCH("職員番号*",$Y$4:$FS$4,0))&amp;"","")</f>
        <v/>
      </c>
      <c r="D162" s="8">
        <f>IFERROR(INDEX($Y162:$FS162,MATCH("氏名*",$Y$4:$FS$4,0))&amp;"","")</f>
        <v/>
      </c>
      <c r="E162" s="13" t="n"/>
      <c r="F162" s="16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4" t="n"/>
      <c r="Q162" s="13" t="n"/>
      <c r="R162" s="13" t="n"/>
      <c r="S162" s="13" t="n"/>
      <c r="T162" s="13" t="n"/>
      <c r="U162" s="16" t="n"/>
      <c r="V162" s="13" t="n"/>
      <c r="W162" s="13" t="n"/>
    </row>
    <row r="163">
      <c r="A163" s="12" t="n"/>
      <c r="B163" s="8" t="n"/>
      <c r="C163" s="8">
        <f>IFERROR(INDEX($Y163:$FS163,MATCH("職員番号*",$Y$4:$FS$4,0))&amp;"","")</f>
        <v/>
      </c>
      <c r="D163" s="8">
        <f>IFERROR(INDEX($Y163:$FS163,MATCH("氏名*",$Y$4:$FS$4,0))&amp;"","")</f>
        <v/>
      </c>
      <c r="E163" s="13" t="n"/>
      <c r="F163" s="16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4" t="n"/>
      <c r="Q163" s="13" t="n"/>
      <c r="R163" s="13" t="n"/>
      <c r="S163" s="13" t="n"/>
      <c r="T163" s="13" t="n"/>
      <c r="U163" s="16" t="n"/>
      <c r="V163" s="13" t="n"/>
      <c r="W163" s="13" t="n"/>
    </row>
    <row r="164">
      <c r="A164" s="12" t="n"/>
      <c r="B164" s="8" t="n"/>
      <c r="C164" s="8">
        <f>IFERROR(INDEX($Y164:$FS164,MATCH("職員番号*",$Y$4:$FS$4,0))&amp;"","")</f>
        <v/>
      </c>
      <c r="D164" s="8">
        <f>IFERROR(INDEX($Y164:$FS164,MATCH("氏名*",$Y$4:$FS$4,0))&amp;"","")</f>
        <v/>
      </c>
      <c r="E164" s="13" t="n"/>
      <c r="F164" s="16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4" t="n"/>
      <c r="Q164" s="13" t="n"/>
      <c r="R164" s="13" t="n"/>
      <c r="S164" s="13" t="n"/>
      <c r="T164" s="13" t="n"/>
      <c r="U164" s="16" t="n"/>
      <c r="V164" s="13" t="n"/>
      <c r="W164" s="13" t="n"/>
    </row>
    <row r="165">
      <c r="A165" s="12" t="n"/>
      <c r="B165" s="8" t="n"/>
      <c r="C165" s="8">
        <f>IFERROR(INDEX($Y165:$FS165,MATCH("職員番号*",$Y$4:$FS$4,0))&amp;"","")</f>
        <v/>
      </c>
      <c r="D165" s="8">
        <f>IFERROR(INDEX($Y165:$FS165,MATCH("氏名*",$Y$4:$FS$4,0))&amp;"","")</f>
        <v/>
      </c>
      <c r="E165" s="13" t="n"/>
      <c r="F165" s="16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4" t="n"/>
      <c r="Q165" s="13" t="n"/>
      <c r="R165" s="13" t="n"/>
      <c r="S165" s="13" t="n"/>
      <c r="T165" s="13" t="n"/>
      <c r="U165" s="16" t="n"/>
      <c r="V165" s="13" t="n"/>
      <c r="W165" s="13" t="n"/>
    </row>
    <row r="166">
      <c r="A166" s="12" t="n"/>
      <c r="B166" s="8" t="n"/>
      <c r="C166" s="8">
        <f>IFERROR(INDEX($Y166:$FS166,MATCH("職員番号*",$Y$4:$FS$4,0))&amp;"","")</f>
        <v/>
      </c>
      <c r="D166" s="8">
        <f>IFERROR(INDEX($Y166:$FS166,MATCH("氏名*",$Y$4:$FS$4,0))&amp;"","")</f>
        <v/>
      </c>
      <c r="E166" s="13" t="n"/>
      <c r="F166" s="16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4" t="n"/>
      <c r="Q166" s="13" t="n"/>
      <c r="R166" s="13" t="n"/>
      <c r="S166" s="13" t="n"/>
      <c r="T166" s="13" t="n"/>
      <c r="U166" s="16" t="n"/>
      <c r="V166" s="13" t="n"/>
      <c r="W166" s="13" t="n"/>
    </row>
    <row r="167">
      <c r="A167" s="12" t="n"/>
      <c r="B167" s="8" t="n"/>
      <c r="C167" s="8">
        <f>IFERROR(INDEX($Y167:$FS167,MATCH("職員番号*",$Y$4:$FS$4,0))&amp;"","")</f>
        <v/>
      </c>
      <c r="D167" s="8">
        <f>IFERROR(INDEX($Y167:$FS167,MATCH("氏名*",$Y$4:$FS$4,0))&amp;"","")</f>
        <v/>
      </c>
      <c r="E167" s="13" t="n"/>
      <c r="F167" s="16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4" t="n"/>
      <c r="Q167" s="13" t="n"/>
      <c r="R167" s="13" t="n"/>
      <c r="S167" s="13" t="n"/>
      <c r="T167" s="13" t="n"/>
      <c r="U167" s="16" t="n"/>
      <c r="V167" s="13" t="n"/>
      <c r="W167" s="13" t="n"/>
    </row>
    <row r="168">
      <c r="A168" s="12" t="n"/>
      <c r="B168" s="8" t="n"/>
      <c r="C168" s="8">
        <f>IFERROR(INDEX($Y168:$FS168,MATCH("職員番号*",$Y$4:$FS$4,0))&amp;"","")</f>
        <v/>
      </c>
      <c r="D168" s="8">
        <f>IFERROR(INDEX($Y168:$FS168,MATCH("氏名*",$Y$4:$FS$4,0))&amp;"","")</f>
        <v/>
      </c>
      <c r="E168" s="13" t="n"/>
      <c r="F168" s="16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4" t="n"/>
      <c r="Q168" s="13" t="n"/>
      <c r="R168" s="13" t="n"/>
      <c r="S168" s="13" t="n"/>
      <c r="T168" s="13" t="n"/>
      <c r="U168" s="16" t="n"/>
      <c r="V168" s="13" t="n"/>
      <c r="W168" s="13" t="n"/>
    </row>
    <row r="169">
      <c r="A169" s="12" t="n"/>
      <c r="B169" s="8" t="n"/>
      <c r="C169" s="8">
        <f>IFERROR(INDEX($Y169:$FS169,MATCH("職員番号*",$Y$4:$FS$4,0))&amp;"","")</f>
        <v/>
      </c>
      <c r="D169" s="8">
        <f>IFERROR(INDEX($Y169:$FS169,MATCH("氏名*",$Y$4:$FS$4,0))&amp;"","")</f>
        <v/>
      </c>
      <c r="E169" s="13" t="n"/>
      <c r="F169" s="16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4" t="n"/>
      <c r="Q169" s="13" t="n"/>
      <c r="R169" s="13" t="n"/>
      <c r="S169" s="13" t="n"/>
      <c r="T169" s="13" t="n"/>
      <c r="U169" s="16" t="n"/>
      <c r="V169" s="13" t="n"/>
      <c r="W169" s="13" t="n"/>
    </row>
    <row r="170">
      <c r="A170" s="12" t="n"/>
      <c r="B170" s="8" t="n"/>
      <c r="C170" s="8">
        <f>IFERROR(INDEX($Y170:$FS170,MATCH("職員番号*",$Y$4:$FS$4,0))&amp;"","")</f>
        <v/>
      </c>
      <c r="D170" s="8">
        <f>IFERROR(INDEX($Y170:$FS170,MATCH("氏名*",$Y$4:$FS$4,0))&amp;"","")</f>
        <v/>
      </c>
      <c r="E170" s="13" t="n"/>
      <c r="F170" s="16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4" t="n"/>
      <c r="Q170" s="13" t="n"/>
      <c r="R170" s="13" t="n"/>
      <c r="S170" s="13" t="n"/>
      <c r="T170" s="13" t="n"/>
      <c r="U170" s="16" t="n"/>
      <c r="V170" s="13" t="n"/>
      <c r="W170" s="13" t="n"/>
    </row>
    <row r="171">
      <c r="A171" s="12" t="n"/>
      <c r="B171" s="8" t="n"/>
      <c r="C171" s="8">
        <f>IFERROR(INDEX($Y171:$FS171,MATCH("職員番号*",$Y$4:$FS$4,0))&amp;"","")</f>
        <v/>
      </c>
      <c r="D171" s="8">
        <f>IFERROR(INDEX($Y171:$FS171,MATCH("氏名*",$Y$4:$FS$4,0))&amp;"","")</f>
        <v/>
      </c>
      <c r="E171" s="13" t="n"/>
      <c r="F171" s="16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4" t="n"/>
      <c r="Q171" s="13" t="n"/>
      <c r="R171" s="13" t="n"/>
      <c r="S171" s="13" t="n"/>
      <c r="T171" s="13" t="n"/>
      <c r="U171" s="16" t="n"/>
      <c r="V171" s="13" t="n"/>
      <c r="W171" s="13" t="n"/>
    </row>
    <row r="172">
      <c r="A172" s="12" t="n"/>
      <c r="B172" s="8" t="n"/>
      <c r="C172" s="8">
        <f>IFERROR(INDEX($Y172:$FS172,MATCH("職員番号*",$Y$4:$FS$4,0))&amp;"","")</f>
        <v/>
      </c>
      <c r="D172" s="8">
        <f>IFERROR(INDEX($Y172:$FS172,MATCH("氏名*",$Y$4:$FS$4,0))&amp;"","")</f>
        <v/>
      </c>
      <c r="E172" s="13" t="n"/>
      <c r="F172" s="16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4" t="n"/>
      <c r="Q172" s="13" t="n"/>
      <c r="R172" s="13" t="n"/>
      <c r="S172" s="13" t="n"/>
      <c r="T172" s="13" t="n"/>
      <c r="U172" s="16" t="n"/>
      <c r="V172" s="13" t="n"/>
      <c r="W172" s="13" t="n"/>
    </row>
    <row r="173">
      <c r="A173" s="12" t="n"/>
      <c r="B173" s="8" t="n"/>
      <c r="C173" s="8">
        <f>IFERROR(INDEX($Y173:$FS173,MATCH("職員番号*",$Y$4:$FS$4,0))&amp;"","")</f>
        <v/>
      </c>
      <c r="D173" s="8">
        <f>IFERROR(INDEX($Y173:$FS173,MATCH("氏名*",$Y$4:$FS$4,0))&amp;"","")</f>
        <v/>
      </c>
      <c r="E173" s="13" t="n"/>
      <c r="F173" s="16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4" t="n"/>
      <c r="Q173" s="13" t="n"/>
      <c r="R173" s="13" t="n"/>
      <c r="S173" s="13" t="n"/>
      <c r="T173" s="13" t="n"/>
      <c r="U173" s="16" t="n"/>
      <c r="V173" s="13" t="n"/>
      <c r="W173" s="13" t="n"/>
    </row>
    <row r="174">
      <c r="A174" s="12" t="n"/>
      <c r="B174" s="8" t="n"/>
      <c r="C174" s="8">
        <f>IFERROR(INDEX($Y174:$FS174,MATCH("職員番号*",$Y$4:$FS$4,0))&amp;"","")</f>
        <v/>
      </c>
      <c r="D174" s="8">
        <f>IFERROR(INDEX($Y174:$FS174,MATCH("氏名*",$Y$4:$FS$4,0))&amp;"","")</f>
        <v/>
      </c>
      <c r="E174" s="13" t="n"/>
      <c r="F174" s="16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4" t="n"/>
      <c r="Q174" s="13" t="n"/>
      <c r="R174" s="13" t="n"/>
      <c r="S174" s="13" t="n"/>
      <c r="T174" s="13" t="n"/>
      <c r="U174" s="16" t="n"/>
      <c r="V174" s="13" t="n"/>
      <c r="W174" s="13" t="n"/>
    </row>
    <row r="175">
      <c r="A175" s="12" t="n"/>
      <c r="B175" s="8" t="n"/>
      <c r="C175" s="8">
        <f>IFERROR(INDEX($Y175:$FS175,MATCH("職員番号*",$Y$4:$FS$4,0))&amp;"","")</f>
        <v/>
      </c>
      <c r="D175" s="8">
        <f>IFERROR(INDEX($Y175:$FS175,MATCH("氏名*",$Y$4:$FS$4,0))&amp;"","")</f>
        <v/>
      </c>
      <c r="E175" s="13" t="n"/>
      <c r="F175" s="16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4" t="n"/>
      <c r="Q175" s="13" t="n"/>
      <c r="R175" s="13" t="n"/>
      <c r="S175" s="13" t="n"/>
      <c r="T175" s="13" t="n"/>
      <c r="U175" s="16" t="n"/>
      <c r="V175" s="13" t="n"/>
      <c r="W175" s="13" t="n"/>
    </row>
    <row r="176">
      <c r="A176" s="12" t="n"/>
      <c r="B176" s="8" t="n"/>
      <c r="C176" s="8">
        <f>IFERROR(INDEX($Y176:$FS176,MATCH("職員番号*",$Y$4:$FS$4,0))&amp;"","")</f>
        <v/>
      </c>
      <c r="D176" s="8">
        <f>IFERROR(INDEX($Y176:$FS176,MATCH("氏名*",$Y$4:$FS$4,0))&amp;"","")</f>
        <v/>
      </c>
      <c r="E176" s="13" t="n"/>
      <c r="F176" s="16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4" t="n"/>
      <c r="Q176" s="13" t="n"/>
      <c r="R176" s="13" t="n"/>
      <c r="S176" s="13" t="n"/>
      <c r="T176" s="13" t="n"/>
      <c r="U176" s="16" t="n"/>
      <c r="V176" s="13" t="n"/>
      <c r="W176" s="13" t="n"/>
    </row>
    <row r="177">
      <c r="A177" s="12" t="n"/>
      <c r="B177" s="8" t="n"/>
      <c r="C177" s="8">
        <f>IFERROR(INDEX($Y177:$FS177,MATCH("職員番号*",$Y$4:$FS$4,0))&amp;"","")</f>
        <v/>
      </c>
      <c r="D177" s="8">
        <f>IFERROR(INDEX($Y177:$FS177,MATCH("氏名*",$Y$4:$FS$4,0))&amp;"","")</f>
        <v/>
      </c>
      <c r="E177" s="13" t="n"/>
      <c r="F177" s="16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4" t="n"/>
      <c r="Q177" s="13" t="n"/>
      <c r="R177" s="13" t="n"/>
      <c r="S177" s="13" t="n"/>
      <c r="T177" s="13" t="n"/>
      <c r="U177" s="16" t="n"/>
      <c r="V177" s="13" t="n"/>
      <c r="W177" s="13" t="n"/>
    </row>
    <row r="178">
      <c r="A178" s="12" t="n"/>
      <c r="B178" s="8" t="n"/>
      <c r="C178" s="8">
        <f>IFERROR(INDEX($Y178:$FS178,MATCH("職員番号*",$Y$4:$FS$4,0))&amp;"","")</f>
        <v/>
      </c>
      <c r="D178" s="8">
        <f>IFERROR(INDEX($Y178:$FS178,MATCH("氏名*",$Y$4:$FS$4,0))&amp;"","")</f>
        <v/>
      </c>
      <c r="E178" s="13" t="n"/>
      <c r="F178" s="16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4" t="n"/>
      <c r="Q178" s="13" t="n"/>
      <c r="R178" s="13" t="n"/>
      <c r="S178" s="13" t="n"/>
      <c r="T178" s="13" t="n"/>
      <c r="U178" s="16" t="n"/>
      <c r="V178" s="13" t="n"/>
      <c r="W178" s="13" t="n"/>
    </row>
    <row r="179">
      <c r="A179" s="12" t="n"/>
      <c r="B179" s="8" t="n"/>
      <c r="C179" s="8">
        <f>IFERROR(INDEX($Y179:$FS179,MATCH("職員番号*",$Y$4:$FS$4,0))&amp;"","")</f>
        <v/>
      </c>
      <c r="D179" s="8">
        <f>IFERROR(INDEX($Y179:$FS179,MATCH("氏名*",$Y$4:$FS$4,0))&amp;"","")</f>
        <v/>
      </c>
      <c r="E179" s="13" t="n"/>
      <c r="F179" s="16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4" t="n"/>
      <c r="Q179" s="13" t="n"/>
      <c r="R179" s="13" t="n"/>
      <c r="S179" s="13" t="n"/>
      <c r="T179" s="13" t="n"/>
      <c r="U179" s="16" t="n"/>
      <c r="V179" s="13" t="n"/>
      <c r="W179" s="13" t="n"/>
    </row>
    <row r="180">
      <c r="A180" s="12" t="n"/>
      <c r="B180" s="8" t="n"/>
      <c r="C180" s="8">
        <f>IFERROR(INDEX($Y180:$FS180,MATCH("職員番号*",$Y$4:$FS$4,0))&amp;"","")</f>
        <v/>
      </c>
      <c r="D180" s="8">
        <f>IFERROR(INDEX($Y180:$FS180,MATCH("氏名*",$Y$4:$FS$4,0))&amp;"","")</f>
        <v/>
      </c>
      <c r="E180" s="13" t="n"/>
      <c r="F180" s="16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4" t="n"/>
      <c r="Q180" s="13" t="n"/>
      <c r="R180" s="13" t="n"/>
      <c r="S180" s="13" t="n"/>
      <c r="T180" s="13" t="n"/>
      <c r="U180" s="16" t="n"/>
      <c r="V180" s="13" t="n"/>
      <c r="W180" s="13" t="n"/>
    </row>
    <row r="181">
      <c r="A181" s="12" t="n"/>
      <c r="B181" s="8" t="n"/>
      <c r="C181" s="8">
        <f>IFERROR(INDEX($Y181:$FS181,MATCH("職員番号*",$Y$4:$FS$4,0))&amp;"","")</f>
        <v/>
      </c>
      <c r="D181" s="8">
        <f>IFERROR(INDEX($Y181:$FS181,MATCH("氏名*",$Y$4:$FS$4,0))&amp;"","")</f>
        <v/>
      </c>
      <c r="E181" s="13" t="n"/>
      <c r="F181" s="16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4" t="n"/>
      <c r="Q181" s="13" t="n"/>
      <c r="R181" s="13" t="n"/>
      <c r="S181" s="13" t="n"/>
      <c r="T181" s="13" t="n"/>
      <c r="U181" s="16" t="n"/>
      <c r="V181" s="13" t="n"/>
      <c r="W181" s="13" t="n"/>
    </row>
    <row r="182">
      <c r="A182" s="12" t="n"/>
      <c r="B182" s="8" t="n"/>
      <c r="C182" s="8">
        <f>IFERROR(INDEX($Y182:$FS182,MATCH("職員番号*",$Y$4:$FS$4,0))&amp;"","")</f>
        <v/>
      </c>
      <c r="D182" s="8">
        <f>IFERROR(INDEX($Y182:$FS182,MATCH("氏名*",$Y$4:$FS$4,0))&amp;"","")</f>
        <v/>
      </c>
      <c r="E182" s="13" t="n"/>
      <c r="F182" s="16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4" t="n"/>
      <c r="Q182" s="13" t="n"/>
      <c r="R182" s="13" t="n"/>
      <c r="S182" s="13" t="n"/>
      <c r="T182" s="13" t="n"/>
      <c r="U182" s="16" t="n"/>
      <c r="V182" s="13" t="n"/>
      <c r="W182" s="13" t="n"/>
    </row>
    <row r="183">
      <c r="A183" s="12" t="n"/>
      <c r="B183" s="8" t="n"/>
      <c r="C183" s="8">
        <f>IFERROR(INDEX($Y183:$FS183,MATCH("職員番号*",$Y$4:$FS$4,0))&amp;"","")</f>
        <v/>
      </c>
      <c r="D183" s="8">
        <f>IFERROR(INDEX($Y183:$FS183,MATCH("氏名*",$Y$4:$FS$4,0))&amp;"","")</f>
        <v/>
      </c>
      <c r="E183" s="13" t="n"/>
      <c r="F183" s="16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4" t="n"/>
      <c r="Q183" s="13" t="n"/>
      <c r="R183" s="13" t="n"/>
      <c r="S183" s="13" t="n"/>
      <c r="T183" s="13" t="n"/>
      <c r="U183" s="16" t="n"/>
      <c r="V183" s="13" t="n"/>
      <c r="W183" s="13" t="n"/>
    </row>
    <row r="184">
      <c r="A184" s="12" t="n"/>
      <c r="B184" s="8" t="n"/>
      <c r="C184" s="8">
        <f>IFERROR(INDEX($Y184:$FS184,MATCH("職員番号*",$Y$4:$FS$4,0))&amp;"","")</f>
        <v/>
      </c>
      <c r="D184" s="8">
        <f>IFERROR(INDEX($Y184:$FS184,MATCH("氏名*",$Y$4:$FS$4,0))&amp;"","")</f>
        <v/>
      </c>
      <c r="E184" s="13" t="n"/>
      <c r="F184" s="16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4" t="n"/>
      <c r="Q184" s="13" t="n"/>
      <c r="R184" s="13" t="n"/>
      <c r="S184" s="13" t="n"/>
      <c r="T184" s="13" t="n"/>
      <c r="U184" s="16" t="n"/>
      <c r="V184" s="13" t="n"/>
      <c r="W184" s="13" t="n"/>
    </row>
    <row r="185">
      <c r="A185" s="12" t="n"/>
      <c r="B185" s="8" t="n"/>
      <c r="C185" s="8">
        <f>IFERROR(INDEX($Y185:$FS185,MATCH("職員番号*",$Y$4:$FS$4,0))&amp;"","")</f>
        <v/>
      </c>
      <c r="D185" s="8">
        <f>IFERROR(INDEX($Y185:$FS185,MATCH("氏名*",$Y$4:$FS$4,0))&amp;"","")</f>
        <v/>
      </c>
      <c r="E185" s="13" t="n"/>
      <c r="F185" s="16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4" t="n"/>
      <c r="Q185" s="13" t="n"/>
      <c r="R185" s="13" t="n"/>
      <c r="S185" s="13" t="n"/>
      <c r="T185" s="13" t="n"/>
      <c r="U185" s="16" t="n"/>
      <c r="V185" s="13" t="n"/>
      <c r="W185" s="13" t="n"/>
    </row>
    <row r="186">
      <c r="A186" s="12" t="n"/>
      <c r="B186" s="8" t="n"/>
      <c r="C186" s="8">
        <f>IFERROR(INDEX($Y186:$FS186,MATCH("職員番号*",$Y$4:$FS$4,0))&amp;"","")</f>
        <v/>
      </c>
      <c r="D186" s="8">
        <f>IFERROR(INDEX($Y186:$FS186,MATCH("氏名*",$Y$4:$FS$4,0))&amp;"","")</f>
        <v/>
      </c>
      <c r="E186" s="13" t="n"/>
      <c r="F186" s="16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4" t="n"/>
      <c r="Q186" s="13" t="n"/>
      <c r="R186" s="13" t="n"/>
      <c r="S186" s="13" t="n"/>
      <c r="T186" s="13" t="n"/>
      <c r="U186" s="16" t="n"/>
      <c r="V186" s="13" t="n"/>
      <c r="W186" s="13" t="n"/>
    </row>
    <row r="187">
      <c r="A187" s="12" t="n"/>
      <c r="B187" s="8" t="n"/>
      <c r="C187" s="8">
        <f>IFERROR(INDEX($Y187:$FS187,MATCH("職員番号*",$Y$4:$FS$4,0))&amp;"","")</f>
        <v/>
      </c>
      <c r="D187" s="8">
        <f>IFERROR(INDEX($Y187:$FS187,MATCH("氏名*",$Y$4:$FS$4,0))&amp;"","")</f>
        <v/>
      </c>
      <c r="E187" s="13" t="n"/>
      <c r="F187" s="16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4" t="n"/>
      <c r="Q187" s="13" t="n"/>
      <c r="R187" s="13" t="n"/>
      <c r="S187" s="13" t="n"/>
      <c r="T187" s="13" t="n"/>
      <c r="U187" s="16" t="n"/>
      <c r="V187" s="13" t="n"/>
      <c r="W187" s="13" t="n"/>
    </row>
    <row r="188">
      <c r="A188" s="12" t="n"/>
      <c r="B188" s="8" t="n"/>
      <c r="C188" s="8">
        <f>IFERROR(INDEX($Y188:$FS188,MATCH("職員番号*",$Y$4:$FS$4,0))&amp;"","")</f>
        <v/>
      </c>
      <c r="D188" s="8">
        <f>IFERROR(INDEX($Y188:$FS188,MATCH("氏名*",$Y$4:$FS$4,0))&amp;"","")</f>
        <v/>
      </c>
      <c r="E188" s="13" t="n"/>
      <c r="F188" s="16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4" t="n"/>
      <c r="Q188" s="13" t="n"/>
      <c r="R188" s="13" t="n"/>
      <c r="S188" s="13" t="n"/>
      <c r="T188" s="13" t="n"/>
      <c r="U188" s="16" t="n"/>
      <c r="V188" s="13" t="n"/>
      <c r="W188" s="13" t="n"/>
    </row>
    <row r="189">
      <c r="A189" s="12" t="n"/>
      <c r="B189" s="8" t="n"/>
      <c r="C189" s="8">
        <f>IFERROR(INDEX($Y189:$FS189,MATCH("職員番号*",$Y$4:$FS$4,0))&amp;"","")</f>
        <v/>
      </c>
      <c r="D189" s="8">
        <f>IFERROR(INDEX($Y189:$FS189,MATCH("氏名*",$Y$4:$FS$4,0))&amp;"","")</f>
        <v/>
      </c>
      <c r="E189" s="13" t="n"/>
      <c r="F189" s="16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4" t="n"/>
      <c r="Q189" s="13" t="n"/>
      <c r="R189" s="13" t="n"/>
      <c r="S189" s="13" t="n"/>
      <c r="T189" s="13" t="n"/>
      <c r="U189" s="16" t="n"/>
      <c r="V189" s="13" t="n"/>
      <c r="W189" s="13" t="n"/>
    </row>
    <row r="190">
      <c r="A190" s="12" t="n"/>
      <c r="B190" s="8" t="n"/>
      <c r="C190" s="8">
        <f>IFERROR(INDEX($Y190:$FS190,MATCH("職員番号*",$Y$4:$FS$4,0))&amp;"","")</f>
        <v/>
      </c>
      <c r="D190" s="8">
        <f>IFERROR(INDEX($Y190:$FS190,MATCH("氏名*",$Y$4:$FS$4,0))&amp;"","")</f>
        <v/>
      </c>
      <c r="E190" s="13" t="n"/>
      <c r="F190" s="16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4" t="n"/>
      <c r="Q190" s="13" t="n"/>
      <c r="R190" s="13" t="n"/>
      <c r="S190" s="13" t="n"/>
      <c r="T190" s="13" t="n"/>
      <c r="U190" s="16" t="n"/>
      <c r="V190" s="13" t="n"/>
      <c r="W190" s="13" t="n"/>
    </row>
    <row r="191">
      <c r="A191" s="12" t="n"/>
      <c r="B191" s="8" t="n"/>
      <c r="C191" s="8">
        <f>IFERROR(INDEX($Y191:$FS191,MATCH("職員番号*",$Y$4:$FS$4,0))&amp;"","")</f>
        <v/>
      </c>
      <c r="D191" s="8">
        <f>IFERROR(INDEX($Y191:$FS191,MATCH("氏名*",$Y$4:$FS$4,0))&amp;"","")</f>
        <v/>
      </c>
      <c r="E191" s="13" t="n"/>
      <c r="F191" s="16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4" t="n"/>
      <c r="Q191" s="13" t="n"/>
      <c r="R191" s="13" t="n"/>
      <c r="S191" s="13" t="n"/>
      <c r="T191" s="13" t="n"/>
      <c r="U191" s="16" t="n"/>
      <c r="V191" s="13" t="n"/>
      <c r="W191" s="13" t="n"/>
    </row>
    <row r="192">
      <c r="A192" s="12" t="n"/>
      <c r="B192" s="8" t="n"/>
      <c r="C192" s="8">
        <f>IFERROR(INDEX($Y192:$FS192,MATCH("職員番号*",$Y$4:$FS$4,0))&amp;"","")</f>
        <v/>
      </c>
      <c r="D192" s="8">
        <f>IFERROR(INDEX($Y192:$FS192,MATCH("氏名*",$Y$4:$FS$4,0))&amp;"","")</f>
        <v/>
      </c>
      <c r="E192" s="13" t="n"/>
      <c r="F192" s="16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4" t="n"/>
      <c r="Q192" s="13" t="n"/>
      <c r="R192" s="13" t="n"/>
      <c r="S192" s="13" t="n"/>
      <c r="T192" s="13" t="n"/>
      <c r="U192" s="16" t="n"/>
      <c r="V192" s="13" t="n"/>
      <c r="W192" s="13" t="n"/>
    </row>
    <row r="193">
      <c r="A193" s="12" t="n"/>
      <c r="B193" s="8" t="n"/>
      <c r="C193" s="8">
        <f>IFERROR(INDEX($Y193:$FS193,MATCH("職員番号*",$Y$4:$FS$4,0))&amp;"","")</f>
        <v/>
      </c>
      <c r="D193" s="8">
        <f>IFERROR(INDEX($Y193:$FS193,MATCH("氏名*",$Y$4:$FS$4,0))&amp;"","")</f>
        <v/>
      </c>
      <c r="E193" s="13" t="n"/>
      <c r="F193" s="16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4" t="n"/>
      <c r="Q193" s="13" t="n"/>
      <c r="R193" s="13" t="n"/>
      <c r="S193" s="13" t="n"/>
      <c r="T193" s="13" t="n"/>
      <c r="U193" s="16" t="n"/>
      <c r="V193" s="13" t="n"/>
      <c r="W193" s="13" t="n"/>
    </row>
    <row r="194">
      <c r="A194" s="12" t="n"/>
      <c r="B194" s="8" t="n"/>
      <c r="C194" s="8">
        <f>IFERROR(INDEX($Y194:$FS194,MATCH("職員番号*",$Y$4:$FS$4,0))&amp;"","")</f>
        <v/>
      </c>
      <c r="D194" s="8">
        <f>IFERROR(INDEX($Y194:$FS194,MATCH("氏名*",$Y$4:$FS$4,0))&amp;"","")</f>
        <v/>
      </c>
      <c r="E194" s="13" t="n"/>
      <c r="F194" s="16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4" t="n"/>
      <c r="Q194" s="13" t="n"/>
      <c r="R194" s="13" t="n"/>
      <c r="S194" s="13" t="n"/>
      <c r="T194" s="13" t="n"/>
      <c r="U194" s="16" t="n"/>
      <c r="V194" s="13" t="n"/>
      <c r="W194" s="13" t="n"/>
    </row>
    <row r="195">
      <c r="A195" s="12" t="n"/>
      <c r="B195" s="8" t="n"/>
      <c r="C195" s="8">
        <f>IFERROR(INDEX($Y195:$FS195,MATCH("職員番号*",$Y$4:$FS$4,0))&amp;"","")</f>
        <v/>
      </c>
      <c r="D195" s="8">
        <f>IFERROR(INDEX($Y195:$FS195,MATCH("氏名*",$Y$4:$FS$4,0))&amp;"","")</f>
        <v/>
      </c>
      <c r="E195" s="13" t="n"/>
      <c r="F195" s="16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4" t="n"/>
      <c r="Q195" s="13" t="n"/>
      <c r="R195" s="13" t="n"/>
      <c r="S195" s="13" t="n"/>
      <c r="T195" s="13" t="n"/>
      <c r="U195" s="16" t="n"/>
      <c r="V195" s="13" t="n"/>
      <c r="W195" s="13" t="n"/>
    </row>
    <row r="196">
      <c r="A196" s="12" t="n"/>
      <c r="B196" s="8" t="n"/>
      <c r="C196" s="8">
        <f>IFERROR(INDEX($Y196:$FS196,MATCH("職員番号*",$Y$4:$FS$4,0))&amp;"","")</f>
        <v/>
      </c>
      <c r="D196" s="8">
        <f>IFERROR(INDEX($Y196:$FS196,MATCH("氏名*",$Y$4:$FS$4,0))&amp;"","")</f>
        <v/>
      </c>
      <c r="E196" s="13" t="n"/>
      <c r="F196" s="16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4" t="n"/>
      <c r="Q196" s="13" t="n"/>
      <c r="R196" s="13" t="n"/>
      <c r="S196" s="13" t="n"/>
      <c r="T196" s="13" t="n"/>
      <c r="U196" s="16" t="n"/>
      <c r="V196" s="13" t="n"/>
      <c r="W196" s="13" t="n"/>
    </row>
    <row r="197">
      <c r="A197" s="12" t="n"/>
      <c r="B197" s="8" t="n"/>
      <c r="C197" s="8">
        <f>IFERROR(INDEX($Y197:$FS197,MATCH("職員番号*",$Y$4:$FS$4,0))&amp;"","")</f>
        <v/>
      </c>
      <c r="D197" s="8">
        <f>IFERROR(INDEX($Y197:$FS197,MATCH("氏名*",$Y$4:$FS$4,0))&amp;"","")</f>
        <v/>
      </c>
      <c r="E197" s="13" t="n"/>
      <c r="F197" s="16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4" t="n"/>
      <c r="Q197" s="13" t="n"/>
      <c r="R197" s="13" t="n"/>
      <c r="S197" s="13" t="n"/>
      <c r="T197" s="13" t="n"/>
      <c r="U197" s="16" t="n"/>
      <c r="V197" s="13" t="n"/>
      <c r="W197" s="13" t="n"/>
    </row>
    <row r="198">
      <c r="A198" s="12" t="n"/>
      <c r="B198" s="8" t="n"/>
      <c r="C198" s="8">
        <f>IFERROR(INDEX($Y198:$FS198,MATCH("職員番号*",$Y$4:$FS$4,0))&amp;"","")</f>
        <v/>
      </c>
      <c r="D198" s="8">
        <f>IFERROR(INDEX($Y198:$FS198,MATCH("氏名*",$Y$4:$FS$4,0))&amp;"","")</f>
        <v/>
      </c>
      <c r="E198" s="13" t="n"/>
      <c r="F198" s="16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4" t="n"/>
      <c r="Q198" s="13" t="n"/>
      <c r="R198" s="13" t="n"/>
      <c r="S198" s="13" t="n"/>
      <c r="T198" s="13" t="n"/>
      <c r="U198" s="16" t="n"/>
      <c r="V198" s="13" t="n"/>
      <c r="W198" s="13" t="n"/>
    </row>
    <row r="199">
      <c r="A199" s="12" t="n"/>
      <c r="B199" s="8" t="n"/>
      <c r="C199" s="8">
        <f>IFERROR(INDEX($Y199:$FS199,MATCH("職員番号*",$Y$4:$FS$4,0))&amp;"","")</f>
        <v/>
      </c>
      <c r="D199" s="8">
        <f>IFERROR(INDEX($Y199:$FS199,MATCH("氏名*",$Y$4:$FS$4,0))&amp;"","")</f>
        <v/>
      </c>
      <c r="E199" s="13" t="n"/>
      <c r="F199" s="16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4" t="n"/>
      <c r="Q199" s="13" t="n"/>
      <c r="R199" s="13" t="n"/>
      <c r="S199" s="13" t="n"/>
      <c r="T199" s="13" t="n"/>
      <c r="U199" s="16" t="n"/>
      <c r="V199" s="13" t="n"/>
      <c r="W199" s="13" t="n"/>
    </row>
    <row r="200">
      <c r="A200" s="12" t="n"/>
      <c r="B200" s="8" t="n"/>
      <c r="C200" s="8">
        <f>IFERROR(INDEX($Y200:$FS200,MATCH("職員番号*",$Y$4:$FS$4,0))&amp;"","")</f>
        <v/>
      </c>
      <c r="D200" s="8">
        <f>IFERROR(INDEX($Y200:$FS200,MATCH("氏名*",$Y$4:$FS$4,0))&amp;"","")</f>
        <v/>
      </c>
      <c r="E200" s="13" t="n"/>
      <c r="F200" s="16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4" t="n"/>
      <c r="Q200" s="13" t="n"/>
      <c r="R200" s="13" t="n"/>
      <c r="S200" s="13" t="n"/>
      <c r="T200" s="13" t="n"/>
      <c r="U200" s="16" t="n"/>
      <c r="V200" s="13" t="n"/>
      <c r="W200" s="13" t="n"/>
    </row>
    <row r="201">
      <c r="A201" s="12" t="n"/>
      <c r="B201" s="8" t="n"/>
      <c r="C201" s="8">
        <f>IFERROR(INDEX($Y201:$FS201,MATCH("職員番号*",$Y$4:$FS$4,0))&amp;"","")</f>
        <v/>
      </c>
      <c r="D201" s="8">
        <f>IFERROR(INDEX($Y201:$FS201,MATCH("氏名*",$Y$4:$FS$4,0))&amp;"","")</f>
        <v/>
      </c>
      <c r="E201" s="13" t="n"/>
      <c r="F201" s="16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4" t="n"/>
      <c r="Q201" s="13" t="n"/>
      <c r="R201" s="13" t="n"/>
      <c r="S201" s="13" t="n"/>
      <c r="T201" s="13" t="n"/>
      <c r="U201" s="16" t="n"/>
      <c r="V201" s="13" t="n"/>
      <c r="W201" s="13" t="n"/>
    </row>
    <row r="202">
      <c r="A202" s="12" t="n"/>
      <c r="B202" s="8" t="n"/>
      <c r="C202" s="8">
        <f>IFERROR(INDEX($Y202:$FS202,MATCH("職員番号*",$Y$4:$FS$4,0))&amp;"","")</f>
        <v/>
      </c>
      <c r="D202" s="8">
        <f>IFERROR(INDEX($Y202:$FS202,MATCH("氏名*",$Y$4:$FS$4,0))&amp;"","")</f>
        <v/>
      </c>
      <c r="E202" s="13" t="n"/>
      <c r="F202" s="16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4" t="n"/>
      <c r="Q202" s="13" t="n"/>
      <c r="R202" s="13" t="n"/>
      <c r="S202" s="13" t="n"/>
      <c r="T202" s="13" t="n"/>
      <c r="U202" s="16" t="n"/>
      <c r="V202" s="13" t="n"/>
      <c r="W202" s="13" t="n"/>
    </row>
    <row r="203">
      <c r="A203" s="12" t="n"/>
      <c r="B203" s="8" t="n"/>
      <c r="C203" s="8">
        <f>IFERROR(INDEX($Y203:$FS203,MATCH("職員番号*",$Y$4:$FS$4,0))&amp;"","")</f>
        <v/>
      </c>
      <c r="D203" s="8">
        <f>IFERROR(INDEX($Y203:$FS203,MATCH("氏名*",$Y$4:$FS$4,0))&amp;"","")</f>
        <v/>
      </c>
      <c r="E203" s="13" t="n"/>
      <c r="F203" s="16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4" t="n"/>
      <c r="Q203" s="13" t="n"/>
      <c r="R203" s="13" t="n"/>
      <c r="S203" s="13" t="n"/>
      <c r="T203" s="13" t="n"/>
      <c r="U203" s="16" t="n"/>
      <c r="V203" s="13" t="n"/>
      <c r="W203" s="13" t="n"/>
    </row>
    <row r="204">
      <c r="A204" s="12" t="n"/>
      <c r="B204" s="8" t="n"/>
      <c r="C204" s="8">
        <f>IFERROR(INDEX($Y204:$FS204,MATCH("職員番号*",$Y$4:$FS$4,0))&amp;"","")</f>
        <v/>
      </c>
      <c r="D204" s="8">
        <f>IFERROR(INDEX($Y204:$FS204,MATCH("氏名*",$Y$4:$FS$4,0))&amp;"","")</f>
        <v/>
      </c>
      <c r="E204" s="13" t="n"/>
      <c r="F204" s="16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4" t="n"/>
      <c r="Q204" s="13" t="n"/>
      <c r="R204" s="13" t="n"/>
      <c r="S204" s="13" t="n"/>
      <c r="T204" s="13" t="n"/>
      <c r="U204" s="16" t="n"/>
      <c r="V204" s="13" t="n"/>
      <c r="W204" s="13" t="n"/>
    </row>
  </sheetData>
  <mergeCells count="3">
    <mergeCell ref="A3:D3"/>
    <mergeCell ref="Y3:BD3"/>
    <mergeCell ref="E3:W3"/>
  </mergeCells>
  <dataValidations count="9">
    <dataValidation sqref="A5:A204" showDropDown="0" showInputMessage="0" showErrorMessage="0" allowBlank="1" errorTitle="入力できない値です" error="一覧から選んでください" type="list">
      <formula1>"○"</formula1>
    </dataValidation>
    <dataValidation sqref="G5:G204" showDropDown="0" showInputMessage="0" showErrorMessage="0" allowBlank="1" errorTitle="入力できない値です" error="一覧から選んでください" type="list">
      <formula1>"男,女"</formula1>
    </dataValidation>
    <dataValidation sqref="J5:J204" showDropDown="0" showInputMessage="0" showErrorMessage="0" allowBlank="1" errorTitle="入力できない値です" error="一覧から選んでください" type="list">
      <formula1>"退職等,死亡,75歳到達,障害認定"</formula1>
    </dataValidation>
    <dataValidation sqref="K5:K204" showDropDown="0" showInputMessage="0" showErrorMessage="0" allowBlank="1" errorTitle="入力できない値です" error="一覧から選んでください" type="list">
      <formula1>"二以上事業所勤務者の喪失,退職後の継続再雇用者の喪失,その他"</formula1>
    </dataValidation>
    <dataValidation sqref="L5:L204" showDropDown="0" showInputMessage="0" showErrorMessage="0" allowBlank="1" errorTitle="入力できない値です" error="一覧から選んでください" type="list">
      <formula1>"有,無"</formula1>
    </dataValidation>
    <dataValidation sqref="N5:N204" showDropDown="0" showInputMessage="0" showErrorMessage="0" allowBlank="1" errorTitle="入力できない値です" error="一覧から選んでください" type="list">
      <formula1>"離職以外の理由,3以外の離職,事業主の都合による離職"</formula1>
    </dataValidation>
    <dataValidation sqref="O5:O204" showDropDown="0" showInputMessage="0" showErrorMessage="0" allowBlank="1" errorTitle="入力できない値です" error="一覧から選んでください" type="list">
      <formula1>"有,無"</formula1>
    </dataValidation>
    <dataValidation sqref="Q5:Q204" showDropDown="0" showInputMessage="0" showErrorMessage="0" allowBlank="1" errorTitle="入力できない値です" error="一覧から選んでください" type="list">
      <formula1>"有,無"</formula1>
    </dataValidation>
    <dataValidation sqref="V5:V204" showDropDown="0" showInputMessage="0" showErrorMessage="0" allowBlank="1" errorTitle="入力できない値です" error="一覧から選んでください" type="list">
      <formula1>"該当,非該当"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B1:J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20" customWidth="1" min="4" max="4"/>
    <col width="16" customWidth="1" min="5" max="5"/>
    <col width="34" customWidth="1" min="6" max="6"/>
    <col width="12" customWidth="1" min="7" max="7"/>
    <col width="14" customWidth="1" min="9" max="9"/>
    <col width="8" customWidth="1" min="10" max="10"/>
  </cols>
  <sheetData>
    <row r="1">
      <c r="B1" s="4" t="inlineStr">
        <is>
          <t>届出チェックリスト</t>
        </is>
      </c>
    </row>
    <row r="2">
      <c r="B2" s="5" t="inlineStr">
        <is>
          <t>黄色の欄を選ぶと、必要な届出と期限日が下に出る（A4縦で印刷）</t>
        </is>
      </c>
    </row>
    <row r="3">
      <c r="I3" s="6" t="inlineStr">
        <is>
          <t>判定用（触らない）</t>
        </is>
      </c>
    </row>
    <row r="4">
      <c r="C4" s="18" t="inlineStr">
        <is>
          <t>氏名（ダミー可）</t>
        </is>
      </c>
      <c r="D4" s="7" t="n"/>
      <c r="I4" s="19" t="inlineStr">
        <is>
          <t>社保</t>
        </is>
      </c>
      <c r="J4" s="19">
        <f>IF(入力社保="有","有","無")</f>
        <v/>
      </c>
    </row>
    <row r="5">
      <c r="C5" s="18" t="inlineStr">
        <is>
          <t>区分</t>
        </is>
      </c>
      <c r="D5" s="7" t="n"/>
      <c r="I5" s="19" t="inlineStr">
        <is>
          <t>雇保</t>
        </is>
      </c>
      <c r="J5" s="19">
        <f>IF(入力雇保="有","有","無")</f>
        <v/>
      </c>
    </row>
    <row r="6">
      <c r="C6" s="18" t="inlineStr">
        <is>
          <t>基準日（採用日／退職日）</t>
        </is>
      </c>
      <c r="D6" s="20" t="n"/>
      <c r="I6" s="19" t="inlineStr">
        <is>
          <t>外国籍</t>
        </is>
      </c>
      <c r="J6" s="19">
        <f>IF(入力国籍="外国籍","有","無")</f>
        <v/>
      </c>
    </row>
    <row r="7">
      <c r="C7" s="18" t="inlineStr">
        <is>
          <t>生年月日</t>
        </is>
      </c>
      <c r="D7" s="20" t="n"/>
      <c r="I7" s="19" t="inlineStr">
        <is>
          <t>特定技能</t>
        </is>
      </c>
      <c r="J7" s="19">
        <f>IF(入力在留資格="特定技能","有","無")</f>
        <v/>
      </c>
    </row>
    <row r="8">
      <c r="C8" s="18" t="inlineStr">
        <is>
          <t>国籍</t>
        </is>
      </c>
      <c r="D8" s="7" t="n"/>
      <c r="I8" s="19" t="inlineStr">
        <is>
          <t>扶養</t>
        </is>
      </c>
      <c r="J8" s="19">
        <f>IF(入力扶養="有","有","無")</f>
        <v/>
      </c>
    </row>
    <row r="9">
      <c r="C9" s="18" t="inlineStr">
        <is>
          <t>在留資格</t>
        </is>
      </c>
      <c r="D9" s="7" t="n"/>
      <c r="I9" s="19" t="inlineStr">
        <is>
          <t>70歳以上</t>
        </is>
      </c>
      <c r="J9" s="19">
        <f>IF(AND(ISNUMBER(入力生年月日),ISNUMBER(入力基準日)),IF(DATEDIF(入力生年月日,入力基準日,"Y")&gt;=70,"有","無"),"無")</f>
        <v/>
      </c>
    </row>
    <row r="10">
      <c r="C10" s="18" t="inlineStr">
        <is>
          <t>社会保険（健保・厚年）に加入</t>
        </is>
      </c>
      <c r="D10" s="7" t="n"/>
      <c r="I10" s="19" t="inlineStr">
        <is>
          <t>離職票要</t>
        </is>
      </c>
      <c r="J10" s="19">
        <f>IF(OR(入力離職票="有",AND(ISNUMBER(入力生年月日),ISNUMBER(入力基準日),DATEDIF(入力生年月日,入力基準日,"Y")&gt;=59)),"有","無")</f>
        <v/>
      </c>
    </row>
    <row r="11">
      <c r="C11" s="18" t="inlineStr">
        <is>
          <t>雇用保険に加入</t>
        </is>
      </c>
      <c r="D11" s="7" t="n"/>
      <c r="I11" s="19" t="inlineStr">
        <is>
          <t>特徴</t>
        </is>
      </c>
      <c r="J11" s="19">
        <f>IF(入力特徴="有","有","無")</f>
        <v/>
      </c>
    </row>
    <row r="12">
      <c r="C12" s="18" t="inlineStr">
        <is>
          <t>扶養家族（採用時）</t>
        </is>
      </c>
      <c r="D12" s="7" t="n"/>
      <c r="I12" s="19" t="inlineStr">
        <is>
          <t>共済</t>
        </is>
      </c>
      <c r="J12" s="19">
        <f>IF(入力共済="有","有","無")</f>
        <v/>
      </c>
    </row>
    <row r="13">
      <c r="C13" s="18" t="inlineStr">
        <is>
          <t>住民税 特別徴収</t>
        </is>
      </c>
      <c r="D13" s="7" t="n"/>
      <c r="I13" s="19" t="inlineStr">
        <is>
          <t>役職</t>
        </is>
      </c>
      <c r="J13" s="19">
        <f>IF(入力役職="有","有","無")</f>
        <v/>
      </c>
    </row>
    <row r="14">
      <c r="C14" s="18" t="inlineStr">
        <is>
          <t>退職手当共済（WAM）の対象</t>
        </is>
      </c>
      <c r="D14" s="7" t="n"/>
      <c r="I14" s="19" t="inlineStr">
        <is>
          <t>退職金</t>
        </is>
      </c>
      <c r="J14" s="19">
        <f>IF(入力退職金="有","有","無")</f>
        <v/>
      </c>
    </row>
    <row r="15">
      <c r="C15" s="18" t="inlineStr">
        <is>
          <t>人員基準上の役職者</t>
        </is>
      </c>
      <c r="D15" s="7" t="n"/>
      <c r="I15" s="19" t="inlineStr">
        <is>
          <t>障害者</t>
        </is>
      </c>
      <c r="J15" s="19">
        <f>IF(入力障害者="有","有","無")</f>
        <v/>
      </c>
    </row>
    <row r="16">
      <c r="C16" s="18" t="inlineStr">
        <is>
          <t>離職票の希望（退職時）</t>
        </is>
      </c>
      <c r="D16" s="7" t="n"/>
      <c r="I16" s="19" t="inlineStr">
        <is>
          <t>解雇</t>
        </is>
      </c>
      <c r="J16" s="19">
        <f>IF(入力退職理由="解雇","有","無")</f>
        <v/>
      </c>
    </row>
    <row r="17">
      <c r="C17" s="18" t="inlineStr">
        <is>
          <t>退職金の支給（退職時）</t>
        </is>
      </c>
      <c r="D17" s="7" t="n"/>
      <c r="I17" s="19" t="inlineStr">
        <is>
          <t>年齢</t>
        </is>
      </c>
      <c r="J17" s="19">
        <f>IF(AND(ISNUMBER(入力生年月日),ISNUMBER(入力基準日)),DATEDIF(入力生年月日,入力基準日,"Y"),"")</f>
        <v/>
      </c>
    </row>
    <row r="18">
      <c r="C18" s="18" t="inlineStr">
        <is>
          <t>障害者雇用</t>
        </is>
      </c>
      <c r="D18" s="7" t="n"/>
    </row>
    <row r="19">
      <c r="C19" s="18" t="inlineStr">
        <is>
          <t>退職理由（退職時）</t>
        </is>
      </c>
      <c r="D19" s="7" t="n"/>
    </row>
    <row r="21">
      <c r="B21" s="6" t="inlineStr">
        <is>
          <t>■ 必要な届出（期限は安全側＝早めの日付。最終確認は各提出先で）</t>
        </is>
      </c>
    </row>
    <row r="22" ht="22" customHeight="1">
      <c r="B22" s="9" t="inlineStr"/>
      <c r="C22" s="9" t="inlineStr">
        <is>
          <t>届出名</t>
        </is>
      </c>
      <c r="D22" s="9" t="inlineStr">
        <is>
          <t>届出先</t>
        </is>
      </c>
      <c r="E22" s="9" t="inlineStr">
        <is>
          <t>期限</t>
        </is>
      </c>
      <c r="F22" s="9" t="inlineStr">
        <is>
          <t>作成方法・備考</t>
        </is>
      </c>
      <c r="G22" s="9" t="inlineStr">
        <is>
          <t>完了日</t>
        </is>
      </c>
    </row>
    <row r="23" ht="28" customHeight="1">
      <c r="B23" s="21">
        <f>IF(C23="","","☐")</f>
        <v/>
      </c>
      <c r="C23" s="22">
        <f>IFERROR(INDEX(ルール!$B$5:$B$64,MATCH(1,ルール!$Y$5:$Y$64,0)),"")</f>
        <v/>
      </c>
      <c r="D23" s="22">
        <f>IFERROR(INDEX(ルール!$C$5:$C$64,MATCH(1,ルール!$Y$5:$Y$64,0)),"")</f>
        <v/>
      </c>
      <c r="E23" s="23">
        <f>IFERROR(INDEX(ルール!$Z$5:$Z$64,MATCH(1,ルール!$Y$5:$Y$64,0)),"")</f>
        <v/>
      </c>
      <c r="F23" s="22">
        <f>IFERROR(INDEX(ルール!$V$5:$V$64,MATCH(1,ルール!$Y$5:$Y$64,0))&amp;IF(INDEX(ルール!$W$5:$W$64,MATCH(1,ルール!$Y$5:$Y$64,0))="","","（"&amp;INDEX(ルール!$W$5:$W$64,MATCH(1,ルール!$Y$5:$Y$64,0))&amp;"）"),"")</f>
        <v/>
      </c>
      <c r="G23" s="22" t="n"/>
    </row>
    <row r="24" ht="28" customHeight="1">
      <c r="B24" s="21">
        <f>IF(C24="","","☐")</f>
        <v/>
      </c>
      <c r="C24" s="22">
        <f>IFERROR(INDEX(ルール!$B$5:$B$64,MATCH(2,ルール!$Y$5:$Y$64,0)),"")</f>
        <v/>
      </c>
      <c r="D24" s="22">
        <f>IFERROR(INDEX(ルール!$C$5:$C$64,MATCH(2,ルール!$Y$5:$Y$64,0)),"")</f>
        <v/>
      </c>
      <c r="E24" s="23">
        <f>IFERROR(INDEX(ルール!$Z$5:$Z$64,MATCH(2,ルール!$Y$5:$Y$64,0)),"")</f>
        <v/>
      </c>
      <c r="F24" s="22">
        <f>IFERROR(INDEX(ルール!$V$5:$V$64,MATCH(2,ルール!$Y$5:$Y$64,0))&amp;IF(INDEX(ルール!$W$5:$W$64,MATCH(2,ルール!$Y$5:$Y$64,0))="","","（"&amp;INDEX(ルール!$W$5:$W$64,MATCH(2,ルール!$Y$5:$Y$64,0))&amp;"）"),"")</f>
        <v/>
      </c>
      <c r="G24" s="22" t="n"/>
    </row>
    <row r="25" ht="28" customHeight="1">
      <c r="B25" s="21">
        <f>IF(C25="","","☐")</f>
        <v/>
      </c>
      <c r="C25" s="22">
        <f>IFERROR(INDEX(ルール!$B$5:$B$64,MATCH(3,ルール!$Y$5:$Y$64,0)),"")</f>
        <v/>
      </c>
      <c r="D25" s="22">
        <f>IFERROR(INDEX(ルール!$C$5:$C$64,MATCH(3,ルール!$Y$5:$Y$64,0)),"")</f>
        <v/>
      </c>
      <c r="E25" s="23">
        <f>IFERROR(INDEX(ルール!$Z$5:$Z$64,MATCH(3,ルール!$Y$5:$Y$64,0)),"")</f>
        <v/>
      </c>
      <c r="F25" s="22">
        <f>IFERROR(INDEX(ルール!$V$5:$V$64,MATCH(3,ルール!$Y$5:$Y$64,0))&amp;IF(INDEX(ルール!$W$5:$W$64,MATCH(3,ルール!$Y$5:$Y$64,0))="","","（"&amp;INDEX(ルール!$W$5:$W$64,MATCH(3,ルール!$Y$5:$Y$64,0))&amp;"）"),"")</f>
        <v/>
      </c>
      <c r="G25" s="22" t="n"/>
    </row>
    <row r="26" ht="28" customHeight="1">
      <c r="B26" s="21">
        <f>IF(C26="","","☐")</f>
        <v/>
      </c>
      <c r="C26" s="22">
        <f>IFERROR(INDEX(ルール!$B$5:$B$64,MATCH(4,ルール!$Y$5:$Y$64,0)),"")</f>
        <v/>
      </c>
      <c r="D26" s="22">
        <f>IFERROR(INDEX(ルール!$C$5:$C$64,MATCH(4,ルール!$Y$5:$Y$64,0)),"")</f>
        <v/>
      </c>
      <c r="E26" s="23">
        <f>IFERROR(INDEX(ルール!$Z$5:$Z$64,MATCH(4,ルール!$Y$5:$Y$64,0)),"")</f>
        <v/>
      </c>
      <c r="F26" s="22">
        <f>IFERROR(INDEX(ルール!$V$5:$V$64,MATCH(4,ルール!$Y$5:$Y$64,0))&amp;IF(INDEX(ルール!$W$5:$W$64,MATCH(4,ルール!$Y$5:$Y$64,0))="","","（"&amp;INDEX(ルール!$W$5:$W$64,MATCH(4,ルール!$Y$5:$Y$64,0))&amp;"）"),"")</f>
        <v/>
      </c>
      <c r="G26" s="22" t="n"/>
    </row>
    <row r="27" ht="28" customHeight="1">
      <c r="B27" s="21">
        <f>IF(C27="","","☐")</f>
        <v/>
      </c>
      <c r="C27" s="22">
        <f>IFERROR(INDEX(ルール!$B$5:$B$64,MATCH(5,ルール!$Y$5:$Y$64,0)),"")</f>
        <v/>
      </c>
      <c r="D27" s="22">
        <f>IFERROR(INDEX(ルール!$C$5:$C$64,MATCH(5,ルール!$Y$5:$Y$64,0)),"")</f>
        <v/>
      </c>
      <c r="E27" s="23">
        <f>IFERROR(INDEX(ルール!$Z$5:$Z$64,MATCH(5,ルール!$Y$5:$Y$64,0)),"")</f>
        <v/>
      </c>
      <c r="F27" s="22">
        <f>IFERROR(INDEX(ルール!$V$5:$V$64,MATCH(5,ルール!$Y$5:$Y$64,0))&amp;IF(INDEX(ルール!$W$5:$W$64,MATCH(5,ルール!$Y$5:$Y$64,0))="","","（"&amp;INDEX(ルール!$W$5:$W$64,MATCH(5,ルール!$Y$5:$Y$64,0))&amp;"）"),"")</f>
        <v/>
      </c>
      <c r="G27" s="22" t="n"/>
    </row>
    <row r="28" ht="28" customHeight="1">
      <c r="B28" s="21">
        <f>IF(C28="","","☐")</f>
        <v/>
      </c>
      <c r="C28" s="22">
        <f>IFERROR(INDEX(ルール!$B$5:$B$64,MATCH(6,ルール!$Y$5:$Y$64,0)),"")</f>
        <v/>
      </c>
      <c r="D28" s="22">
        <f>IFERROR(INDEX(ルール!$C$5:$C$64,MATCH(6,ルール!$Y$5:$Y$64,0)),"")</f>
        <v/>
      </c>
      <c r="E28" s="23">
        <f>IFERROR(INDEX(ルール!$Z$5:$Z$64,MATCH(6,ルール!$Y$5:$Y$64,0)),"")</f>
        <v/>
      </c>
      <c r="F28" s="22">
        <f>IFERROR(INDEX(ルール!$V$5:$V$64,MATCH(6,ルール!$Y$5:$Y$64,0))&amp;IF(INDEX(ルール!$W$5:$W$64,MATCH(6,ルール!$Y$5:$Y$64,0))="","","（"&amp;INDEX(ルール!$W$5:$W$64,MATCH(6,ルール!$Y$5:$Y$64,0))&amp;"）"),"")</f>
        <v/>
      </c>
      <c r="G28" s="22" t="n"/>
    </row>
    <row r="29" ht="28" customHeight="1">
      <c r="B29" s="21">
        <f>IF(C29="","","☐")</f>
        <v/>
      </c>
      <c r="C29" s="22">
        <f>IFERROR(INDEX(ルール!$B$5:$B$64,MATCH(7,ルール!$Y$5:$Y$64,0)),"")</f>
        <v/>
      </c>
      <c r="D29" s="22">
        <f>IFERROR(INDEX(ルール!$C$5:$C$64,MATCH(7,ルール!$Y$5:$Y$64,0)),"")</f>
        <v/>
      </c>
      <c r="E29" s="23">
        <f>IFERROR(INDEX(ルール!$Z$5:$Z$64,MATCH(7,ルール!$Y$5:$Y$64,0)),"")</f>
        <v/>
      </c>
      <c r="F29" s="22">
        <f>IFERROR(INDEX(ルール!$V$5:$V$64,MATCH(7,ルール!$Y$5:$Y$64,0))&amp;IF(INDEX(ルール!$W$5:$W$64,MATCH(7,ルール!$Y$5:$Y$64,0))="","","（"&amp;INDEX(ルール!$W$5:$W$64,MATCH(7,ルール!$Y$5:$Y$64,0))&amp;"）"),"")</f>
        <v/>
      </c>
      <c r="G29" s="22" t="n"/>
    </row>
    <row r="30" ht="28" customHeight="1">
      <c r="B30" s="21">
        <f>IF(C30="","","☐")</f>
        <v/>
      </c>
      <c r="C30" s="22">
        <f>IFERROR(INDEX(ルール!$B$5:$B$64,MATCH(8,ルール!$Y$5:$Y$64,0)),"")</f>
        <v/>
      </c>
      <c r="D30" s="22">
        <f>IFERROR(INDEX(ルール!$C$5:$C$64,MATCH(8,ルール!$Y$5:$Y$64,0)),"")</f>
        <v/>
      </c>
      <c r="E30" s="23">
        <f>IFERROR(INDEX(ルール!$Z$5:$Z$64,MATCH(8,ルール!$Y$5:$Y$64,0)),"")</f>
        <v/>
      </c>
      <c r="F30" s="22">
        <f>IFERROR(INDEX(ルール!$V$5:$V$64,MATCH(8,ルール!$Y$5:$Y$64,0))&amp;IF(INDEX(ルール!$W$5:$W$64,MATCH(8,ルール!$Y$5:$Y$64,0))="","","（"&amp;INDEX(ルール!$W$5:$W$64,MATCH(8,ルール!$Y$5:$Y$64,0))&amp;"）"),"")</f>
        <v/>
      </c>
      <c r="G30" s="22" t="n"/>
    </row>
    <row r="31" ht="28" customHeight="1">
      <c r="B31" s="21">
        <f>IF(C31="","","☐")</f>
        <v/>
      </c>
      <c r="C31" s="22">
        <f>IFERROR(INDEX(ルール!$B$5:$B$64,MATCH(9,ルール!$Y$5:$Y$64,0)),"")</f>
        <v/>
      </c>
      <c r="D31" s="22">
        <f>IFERROR(INDEX(ルール!$C$5:$C$64,MATCH(9,ルール!$Y$5:$Y$64,0)),"")</f>
        <v/>
      </c>
      <c r="E31" s="23">
        <f>IFERROR(INDEX(ルール!$Z$5:$Z$64,MATCH(9,ルール!$Y$5:$Y$64,0)),"")</f>
        <v/>
      </c>
      <c r="F31" s="22">
        <f>IFERROR(INDEX(ルール!$V$5:$V$64,MATCH(9,ルール!$Y$5:$Y$64,0))&amp;IF(INDEX(ルール!$W$5:$W$64,MATCH(9,ルール!$Y$5:$Y$64,0))="","","（"&amp;INDEX(ルール!$W$5:$W$64,MATCH(9,ルール!$Y$5:$Y$64,0))&amp;"）"),"")</f>
        <v/>
      </c>
      <c r="G31" s="22" t="n"/>
    </row>
    <row r="32" ht="28" customHeight="1">
      <c r="B32" s="21">
        <f>IF(C32="","","☐")</f>
        <v/>
      </c>
      <c r="C32" s="22">
        <f>IFERROR(INDEX(ルール!$B$5:$B$64,MATCH(10,ルール!$Y$5:$Y$64,0)),"")</f>
        <v/>
      </c>
      <c r="D32" s="22">
        <f>IFERROR(INDEX(ルール!$C$5:$C$64,MATCH(10,ルール!$Y$5:$Y$64,0)),"")</f>
        <v/>
      </c>
      <c r="E32" s="23">
        <f>IFERROR(INDEX(ルール!$Z$5:$Z$64,MATCH(10,ルール!$Y$5:$Y$64,0)),"")</f>
        <v/>
      </c>
      <c r="F32" s="22">
        <f>IFERROR(INDEX(ルール!$V$5:$V$64,MATCH(10,ルール!$Y$5:$Y$64,0))&amp;IF(INDEX(ルール!$W$5:$W$64,MATCH(10,ルール!$Y$5:$Y$64,0))="","","（"&amp;INDEX(ルール!$W$5:$W$64,MATCH(10,ルール!$Y$5:$Y$64,0))&amp;"）"),"")</f>
        <v/>
      </c>
      <c r="G32" s="22" t="n"/>
    </row>
    <row r="33" ht="28" customHeight="1">
      <c r="B33" s="21">
        <f>IF(C33="","","☐")</f>
        <v/>
      </c>
      <c r="C33" s="22">
        <f>IFERROR(INDEX(ルール!$B$5:$B$64,MATCH(11,ルール!$Y$5:$Y$64,0)),"")</f>
        <v/>
      </c>
      <c r="D33" s="22">
        <f>IFERROR(INDEX(ルール!$C$5:$C$64,MATCH(11,ルール!$Y$5:$Y$64,0)),"")</f>
        <v/>
      </c>
      <c r="E33" s="23">
        <f>IFERROR(INDEX(ルール!$Z$5:$Z$64,MATCH(11,ルール!$Y$5:$Y$64,0)),"")</f>
        <v/>
      </c>
      <c r="F33" s="22">
        <f>IFERROR(INDEX(ルール!$V$5:$V$64,MATCH(11,ルール!$Y$5:$Y$64,0))&amp;IF(INDEX(ルール!$W$5:$W$64,MATCH(11,ルール!$Y$5:$Y$64,0))="","","（"&amp;INDEX(ルール!$W$5:$W$64,MATCH(11,ルール!$Y$5:$Y$64,0))&amp;"）"),"")</f>
        <v/>
      </c>
      <c r="G33" s="22" t="n"/>
    </row>
    <row r="34" ht="28" customHeight="1">
      <c r="B34" s="21">
        <f>IF(C34="","","☐")</f>
        <v/>
      </c>
      <c r="C34" s="22">
        <f>IFERROR(INDEX(ルール!$B$5:$B$64,MATCH(12,ルール!$Y$5:$Y$64,0)),"")</f>
        <v/>
      </c>
      <c r="D34" s="22">
        <f>IFERROR(INDEX(ルール!$C$5:$C$64,MATCH(12,ルール!$Y$5:$Y$64,0)),"")</f>
        <v/>
      </c>
      <c r="E34" s="23">
        <f>IFERROR(INDEX(ルール!$Z$5:$Z$64,MATCH(12,ルール!$Y$5:$Y$64,0)),"")</f>
        <v/>
      </c>
      <c r="F34" s="22">
        <f>IFERROR(INDEX(ルール!$V$5:$V$64,MATCH(12,ルール!$Y$5:$Y$64,0))&amp;IF(INDEX(ルール!$W$5:$W$64,MATCH(12,ルール!$Y$5:$Y$64,0))="","","（"&amp;INDEX(ルール!$W$5:$W$64,MATCH(12,ルール!$Y$5:$Y$64,0))&amp;"）"),"")</f>
        <v/>
      </c>
      <c r="G34" s="22" t="n"/>
    </row>
    <row r="35" ht="28" customHeight="1">
      <c r="B35" s="21">
        <f>IF(C35="","","☐")</f>
        <v/>
      </c>
      <c r="C35" s="22">
        <f>IFERROR(INDEX(ルール!$B$5:$B$64,MATCH(13,ルール!$Y$5:$Y$64,0)),"")</f>
        <v/>
      </c>
      <c r="D35" s="22">
        <f>IFERROR(INDEX(ルール!$C$5:$C$64,MATCH(13,ルール!$Y$5:$Y$64,0)),"")</f>
        <v/>
      </c>
      <c r="E35" s="23">
        <f>IFERROR(INDEX(ルール!$Z$5:$Z$64,MATCH(13,ルール!$Y$5:$Y$64,0)),"")</f>
        <v/>
      </c>
      <c r="F35" s="22">
        <f>IFERROR(INDEX(ルール!$V$5:$V$64,MATCH(13,ルール!$Y$5:$Y$64,0))&amp;IF(INDEX(ルール!$W$5:$W$64,MATCH(13,ルール!$Y$5:$Y$64,0))="","","（"&amp;INDEX(ルール!$W$5:$W$64,MATCH(13,ルール!$Y$5:$Y$64,0))&amp;"）"),"")</f>
        <v/>
      </c>
      <c r="G35" s="22" t="n"/>
    </row>
    <row r="36" ht="28" customHeight="1">
      <c r="B36" s="21">
        <f>IF(C36="","","☐")</f>
        <v/>
      </c>
      <c r="C36" s="22">
        <f>IFERROR(INDEX(ルール!$B$5:$B$64,MATCH(14,ルール!$Y$5:$Y$64,0)),"")</f>
        <v/>
      </c>
      <c r="D36" s="22">
        <f>IFERROR(INDEX(ルール!$C$5:$C$64,MATCH(14,ルール!$Y$5:$Y$64,0)),"")</f>
        <v/>
      </c>
      <c r="E36" s="23">
        <f>IFERROR(INDEX(ルール!$Z$5:$Z$64,MATCH(14,ルール!$Y$5:$Y$64,0)),"")</f>
        <v/>
      </c>
      <c r="F36" s="22">
        <f>IFERROR(INDEX(ルール!$V$5:$V$64,MATCH(14,ルール!$Y$5:$Y$64,0))&amp;IF(INDEX(ルール!$W$5:$W$64,MATCH(14,ルール!$Y$5:$Y$64,0))="","","（"&amp;INDEX(ルール!$W$5:$W$64,MATCH(14,ルール!$Y$5:$Y$64,0))&amp;"）"),"")</f>
        <v/>
      </c>
      <c r="G36" s="22" t="n"/>
    </row>
    <row r="37" ht="28" customHeight="1">
      <c r="B37" s="21">
        <f>IF(C37="","","☐")</f>
        <v/>
      </c>
      <c r="C37" s="22">
        <f>IFERROR(INDEX(ルール!$B$5:$B$64,MATCH(15,ルール!$Y$5:$Y$64,0)),"")</f>
        <v/>
      </c>
      <c r="D37" s="22">
        <f>IFERROR(INDEX(ルール!$C$5:$C$64,MATCH(15,ルール!$Y$5:$Y$64,0)),"")</f>
        <v/>
      </c>
      <c r="E37" s="23">
        <f>IFERROR(INDEX(ルール!$Z$5:$Z$64,MATCH(15,ルール!$Y$5:$Y$64,0)),"")</f>
        <v/>
      </c>
      <c r="F37" s="22">
        <f>IFERROR(INDEX(ルール!$V$5:$V$64,MATCH(15,ルール!$Y$5:$Y$64,0))&amp;IF(INDEX(ルール!$W$5:$W$64,MATCH(15,ルール!$Y$5:$Y$64,0))="","","（"&amp;INDEX(ルール!$W$5:$W$64,MATCH(15,ルール!$Y$5:$Y$64,0))&amp;"）"),"")</f>
        <v/>
      </c>
      <c r="G37" s="22" t="n"/>
    </row>
    <row r="38" ht="28" customHeight="1">
      <c r="B38" s="21">
        <f>IF(C38="","","☐")</f>
        <v/>
      </c>
      <c r="C38" s="22">
        <f>IFERROR(INDEX(ルール!$B$5:$B$64,MATCH(16,ルール!$Y$5:$Y$64,0)),"")</f>
        <v/>
      </c>
      <c r="D38" s="22">
        <f>IFERROR(INDEX(ルール!$C$5:$C$64,MATCH(16,ルール!$Y$5:$Y$64,0)),"")</f>
        <v/>
      </c>
      <c r="E38" s="23">
        <f>IFERROR(INDEX(ルール!$Z$5:$Z$64,MATCH(16,ルール!$Y$5:$Y$64,0)),"")</f>
        <v/>
      </c>
      <c r="F38" s="22">
        <f>IFERROR(INDEX(ルール!$V$5:$V$64,MATCH(16,ルール!$Y$5:$Y$64,0))&amp;IF(INDEX(ルール!$W$5:$W$64,MATCH(16,ルール!$Y$5:$Y$64,0))="","","（"&amp;INDEX(ルール!$W$5:$W$64,MATCH(16,ルール!$Y$5:$Y$64,0))&amp;"）"),"")</f>
        <v/>
      </c>
      <c r="G38" s="22" t="n"/>
    </row>
    <row r="39" ht="28" customHeight="1">
      <c r="B39" s="21">
        <f>IF(C39="","","☐")</f>
        <v/>
      </c>
      <c r="C39" s="22">
        <f>IFERROR(INDEX(ルール!$B$5:$B$64,MATCH(17,ルール!$Y$5:$Y$64,0)),"")</f>
        <v/>
      </c>
      <c r="D39" s="22">
        <f>IFERROR(INDEX(ルール!$C$5:$C$64,MATCH(17,ルール!$Y$5:$Y$64,0)),"")</f>
        <v/>
      </c>
      <c r="E39" s="23">
        <f>IFERROR(INDEX(ルール!$Z$5:$Z$64,MATCH(17,ルール!$Y$5:$Y$64,0)),"")</f>
        <v/>
      </c>
      <c r="F39" s="22">
        <f>IFERROR(INDEX(ルール!$V$5:$V$64,MATCH(17,ルール!$Y$5:$Y$64,0))&amp;IF(INDEX(ルール!$W$5:$W$64,MATCH(17,ルール!$Y$5:$Y$64,0))="","","（"&amp;INDEX(ルール!$W$5:$W$64,MATCH(17,ルール!$Y$5:$Y$64,0))&amp;"）"),"")</f>
        <v/>
      </c>
      <c r="G39" s="22" t="n"/>
    </row>
    <row r="40" ht="28" customHeight="1">
      <c r="B40" s="21">
        <f>IF(C40="","","☐")</f>
        <v/>
      </c>
      <c r="C40" s="22">
        <f>IFERROR(INDEX(ルール!$B$5:$B$64,MATCH(18,ルール!$Y$5:$Y$64,0)),"")</f>
        <v/>
      </c>
      <c r="D40" s="22">
        <f>IFERROR(INDEX(ルール!$C$5:$C$64,MATCH(18,ルール!$Y$5:$Y$64,0)),"")</f>
        <v/>
      </c>
      <c r="E40" s="23">
        <f>IFERROR(INDEX(ルール!$Z$5:$Z$64,MATCH(18,ルール!$Y$5:$Y$64,0)),"")</f>
        <v/>
      </c>
      <c r="F40" s="22">
        <f>IFERROR(INDEX(ルール!$V$5:$V$64,MATCH(18,ルール!$Y$5:$Y$64,0))&amp;IF(INDEX(ルール!$W$5:$W$64,MATCH(18,ルール!$Y$5:$Y$64,0))="","","（"&amp;INDEX(ルール!$W$5:$W$64,MATCH(18,ルール!$Y$5:$Y$64,0))&amp;"）"),"")</f>
        <v/>
      </c>
      <c r="G40" s="22" t="n"/>
    </row>
    <row r="41" ht="28" customHeight="1">
      <c r="B41" s="21">
        <f>IF(C41="","","☐")</f>
        <v/>
      </c>
      <c r="C41" s="22">
        <f>IFERROR(INDEX(ルール!$B$5:$B$64,MATCH(19,ルール!$Y$5:$Y$64,0)),"")</f>
        <v/>
      </c>
      <c r="D41" s="22">
        <f>IFERROR(INDEX(ルール!$C$5:$C$64,MATCH(19,ルール!$Y$5:$Y$64,0)),"")</f>
        <v/>
      </c>
      <c r="E41" s="23">
        <f>IFERROR(INDEX(ルール!$Z$5:$Z$64,MATCH(19,ルール!$Y$5:$Y$64,0)),"")</f>
        <v/>
      </c>
      <c r="F41" s="22">
        <f>IFERROR(INDEX(ルール!$V$5:$V$64,MATCH(19,ルール!$Y$5:$Y$64,0))&amp;IF(INDEX(ルール!$W$5:$W$64,MATCH(19,ルール!$Y$5:$Y$64,0))="","","（"&amp;INDEX(ルール!$W$5:$W$64,MATCH(19,ルール!$Y$5:$Y$64,0))&amp;"）"),"")</f>
        <v/>
      </c>
      <c r="G41" s="22" t="n"/>
    </row>
    <row r="42" ht="28" customHeight="1">
      <c r="B42" s="21">
        <f>IF(C42="","","☐")</f>
        <v/>
      </c>
      <c r="C42" s="22">
        <f>IFERROR(INDEX(ルール!$B$5:$B$64,MATCH(20,ルール!$Y$5:$Y$64,0)),"")</f>
        <v/>
      </c>
      <c r="D42" s="22">
        <f>IFERROR(INDEX(ルール!$C$5:$C$64,MATCH(20,ルール!$Y$5:$Y$64,0)),"")</f>
        <v/>
      </c>
      <c r="E42" s="23">
        <f>IFERROR(INDEX(ルール!$Z$5:$Z$64,MATCH(20,ルール!$Y$5:$Y$64,0)),"")</f>
        <v/>
      </c>
      <c r="F42" s="22">
        <f>IFERROR(INDEX(ルール!$V$5:$V$64,MATCH(20,ルール!$Y$5:$Y$64,0))&amp;IF(INDEX(ルール!$W$5:$W$64,MATCH(20,ルール!$Y$5:$Y$64,0))="","","（"&amp;INDEX(ルール!$W$5:$W$64,MATCH(20,ルール!$Y$5:$Y$64,0))&amp;"）"),"")</f>
        <v/>
      </c>
      <c r="G42" s="22" t="n"/>
    </row>
    <row r="43" ht="28" customHeight="1">
      <c r="B43" s="21">
        <f>IF(C43="","","☐")</f>
        <v/>
      </c>
      <c r="C43" s="22">
        <f>IFERROR(INDEX(ルール!$B$5:$B$64,MATCH(21,ルール!$Y$5:$Y$64,0)),"")</f>
        <v/>
      </c>
      <c r="D43" s="22">
        <f>IFERROR(INDEX(ルール!$C$5:$C$64,MATCH(21,ルール!$Y$5:$Y$64,0)),"")</f>
        <v/>
      </c>
      <c r="E43" s="23">
        <f>IFERROR(INDEX(ルール!$Z$5:$Z$64,MATCH(21,ルール!$Y$5:$Y$64,0)),"")</f>
        <v/>
      </c>
      <c r="F43" s="22">
        <f>IFERROR(INDEX(ルール!$V$5:$V$64,MATCH(21,ルール!$Y$5:$Y$64,0))&amp;IF(INDEX(ルール!$W$5:$W$64,MATCH(21,ルール!$Y$5:$Y$64,0))="","","（"&amp;INDEX(ルール!$W$5:$W$64,MATCH(21,ルール!$Y$5:$Y$64,0))&amp;"）"),"")</f>
        <v/>
      </c>
      <c r="G43" s="22" t="n"/>
    </row>
    <row r="44" ht="28" customHeight="1">
      <c r="B44" s="21">
        <f>IF(C44="","","☐")</f>
        <v/>
      </c>
      <c r="C44" s="22">
        <f>IFERROR(INDEX(ルール!$B$5:$B$64,MATCH(22,ルール!$Y$5:$Y$64,0)),"")</f>
        <v/>
      </c>
      <c r="D44" s="22">
        <f>IFERROR(INDEX(ルール!$C$5:$C$64,MATCH(22,ルール!$Y$5:$Y$64,0)),"")</f>
        <v/>
      </c>
      <c r="E44" s="23">
        <f>IFERROR(INDEX(ルール!$Z$5:$Z$64,MATCH(22,ルール!$Y$5:$Y$64,0)),"")</f>
        <v/>
      </c>
      <c r="F44" s="22">
        <f>IFERROR(INDEX(ルール!$V$5:$V$64,MATCH(22,ルール!$Y$5:$Y$64,0))&amp;IF(INDEX(ルール!$W$5:$W$64,MATCH(22,ルール!$Y$5:$Y$64,0))="","","（"&amp;INDEX(ルール!$W$5:$W$64,MATCH(22,ルール!$Y$5:$Y$64,0))&amp;"）"),"")</f>
        <v/>
      </c>
      <c r="G44" s="22" t="n"/>
    </row>
    <row r="45" ht="28" customHeight="1">
      <c r="B45" s="21">
        <f>IF(C45="","","☐")</f>
        <v/>
      </c>
      <c r="C45" s="22">
        <f>IFERROR(INDEX(ルール!$B$5:$B$64,MATCH(23,ルール!$Y$5:$Y$64,0)),"")</f>
        <v/>
      </c>
      <c r="D45" s="22">
        <f>IFERROR(INDEX(ルール!$C$5:$C$64,MATCH(23,ルール!$Y$5:$Y$64,0)),"")</f>
        <v/>
      </c>
      <c r="E45" s="23">
        <f>IFERROR(INDEX(ルール!$Z$5:$Z$64,MATCH(23,ルール!$Y$5:$Y$64,0)),"")</f>
        <v/>
      </c>
      <c r="F45" s="22">
        <f>IFERROR(INDEX(ルール!$V$5:$V$64,MATCH(23,ルール!$Y$5:$Y$64,0))&amp;IF(INDEX(ルール!$W$5:$W$64,MATCH(23,ルール!$Y$5:$Y$64,0))="","","（"&amp;INDEX(ルール!$W$5:$W$64,MATCH(23,ルール!$Y$5:$Y$64,0))&amp;"）"),"")</f>
        <v/>
      </c>
      <c r="G45" s="22" t="n"/>
    </row>
    <row r="46" ht="28" customHeight="1">
      <c r="B46" s="21">
        <f>IF(C46="","","☐")</f>
        <v/>
      </c>
      <c r="C46" s="22">
        <f>IFERROR(INDEX(ルール!$B$5:$B$64,MATCH(24,ルール!$Y$5:$Y$64,0)),"")</f>
        <v/>
      </c>
      <c r="D46" s="22">
        <f>IFERROR(INDEX(ルール!$C$5:$C$64,MATCH(24,ルール!$Y$5:$Y$64,0)),"")</f>
        <v/>
      </c>
      <c r="E46" s="23">
        <f>IFERROR(INDEX(ルール!$Z$5:$Z$64,MATCH(24,ルール!$Y$5:$Y$64,0)),"")</f>
        <v/>
      </c>
      <c r="F46" s="22">
        <f>IFERROR(INDEX(ルール!$V$5:$V$64,MATCH(24,ルール!$Y$5:$Y$64,0))&amp;IF(INDEX(ルール!$W$5:$W$64,MATCH(24,ルール!$Y$5:$Y$64,0))="","","（"&amp;INDEX(ルール!$W$5:$W$64,MATCH(24,ルール!$Y$5:$Y$64,0))&amp;"）"),"")</f>
        <v/>
      </c>
      <c r="G46" s="22" t="n"/>
    </row>
    <row r="47" ht="28" customHeight="1">
      <c r="B47" s="21">
        <f>IF(C47="","","☐")</f>
        <v/>
      </c>
      <c r="C47" s="22">
        <f>IFERROR(INDEX(ルール!$B$5:$B$64,MATCH(25,ルール!$Y$5:$Y$64,0)),"")</f>
        <v/>
      </c>
      <c r="D47" s="22">
        <f>IFERROR(INDEX(ルール!$C$5:$C$64,MATCH(25,ルール!$Y$5:$Y$64,0)),"")</f>
        <v/>
      </c>
      <c r="E47" s="23">
        <f>IFERROR(INDEX(ルール!$Z$5:$Z$64,MATCH(25,ルール!$Y$5:$Y$64,0)),"")</f>
        <v/>
      </c>
      <c r="F47" s="22">
        <f>IFERROR(INDEX(ルール!$V$5:$V$64,MATCH(25,ルール!$Y$5:$Y$64,0))&amp;IF(INDEX(ルール!$W$5:$W$64,MATCH(25,ルール!$Y$5:$Y$64,0))="","","（"&amp;INDEX(ルール!$W$5:$W$64,MATCH(25,ルール!$Y$5:$Y$64,0))&amp;"）"),"")</f>
        <v/>
      </c>
      <c r="G47" s="22" t="n"/>
    </row>
    <row r="48">
      <c r="B48">
        <f>IF(COUNT(ルール!$Y$5:$Y$64)=0,"（区分を選ぶと表示されます）","該当 "&amp;COUNT(ルール!$Y$5:$Y$64)&amp;" 件")</f>
        <v/>
      </c>
    </row>
  </sheetData>
  <dataValidations count="13">
    <dataValidation sqref="D5" showDropDown="0" showInputMessage="0" showErrorMessage="0" allowBlank="1" errorTitle="入力できない値です" error="一覧から選んでください" type="list">
      <formula1>"採用,退職"</formula1>
    </dataValidation>
    <dataValidation sqref="D8" showDropDown="0" showInputMessage="0" showErrorMessage="0" allowBlank="1" errorTitle="入力できない値です" error="一覧から選んでください" type="list">
      <formula1>"日本,外国籍"</formula1>
    </dataValidation>
    <dataValidation sqref="D9" showDropDown="0" showInputMessage="0" showErrorMessage="0" allowBlank="1" errorTitle="入力できない値です" error="一覧から選んでください" type="list">
      <formula1>"特定技能,その他,該当なし"</formula1>
    </dataValidation>
    <dataValidation sqref="D10" showDropDown="0" showInputMessage="0" showErrorMessage="0" allowBlank="1" errorTitle="入力できない値です" error="一覧から選んでください" type="list">
      <formula1>"有,無"</formula1>
    </dataValidation>
    <dataValidation sqref="D11" showDropDown="0" showInputMessage="0" showErrorMessage="0" allowBlank="1" errorTitle="入力できない値です" error="一覧から選んでください" type="list">
      <formula1>"有,無"</formula1>
    </dataValidation>
    <dataValidation sqref="D12" showDropDown="0" showInputMessage="0" showErrorMessage="0" allowBlank="1" errorTitle="入力できない値です" error="一覧から選んでください" type="list">
      <formula1>"有,無"</formula1>
    </dataValidation>
    <dataValidation sqref="D13" showDropDown="0" showInputMessage="0" showErrorMessage="0" allowBlank="1" errorTitle="入力できない値です" error="一覧から選んでください" type="list">
      <formula1>"有,無"</formula1>
    </dataValidation>
    <dataValidation sqref="D14" showDropDown="0" showInputMessage="0" showErrorMessage="0" allowBlank="1" errorTitle="入力できない値です" error="一覧から選んでください" type="list">
      <formula1>"有,無"</formula1>
    </dataValidation>
    <dataValidation sqref="D15" showDropDown="0" showInputMessage="0" showErrorMessage="0" allowBlank="1" errorTitle="入力できない値です" error="一覧から選んでください" type="list">
      <formula1>"有,無"</formula1>
    </dataValidation>
    <dataValidation sqref="D16" showDropDown="0" showInputMessage="0" showErrorMessage="0" allowBlank="1" errorTitle="入力できない値です" error="一覧から選んでください" type="list">
      <formula1>"有,無"</formula1>
    </dataValidation>
    <dataValidation sqref="D17" showDropDown="0" showInputMessage="0" showErrorMessage="0" allowBlank="1" errorTitle="入力できない値です" error="一覧から選んでください" type="list">
      <formula1>"有,無"</formula1>
    </dataValidation>
    <dataValidation sqref="D18" showDropDown="0" showInputMessage="0" showErrorMessage="0" allowBlank="1" errorTitle="入力できない値です" error="一覧から選んでください" type="list">
      <formula1>"有,無"</formula1>
    </dataValidation>
    <dataValidation sqref="D19" showDropDown="0" showInputMessage="0" showErrorMessage="0" allowBlank="1" errorTitle="入力できない値です" error="一覧から選んでください" type="list">
      <formula1>"自己都合,会社都合,解雇,死亡,その他"</formula1>
    </dataValidation>
  </dataValidation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内容確認・転記一覧</t>
        </is>
      </c>
    </row>
    <row r="2">
      <c r="A2" s="5" t="inlineStr">
        <is>
          <t>［チェック］［CSV出力］のたびに作り直される。雇保はこの表を見てe-Gov等に入力する</t>
        </is>
      </c>
    </row>
    <row r="3">
      <c r="A3" t="inlineStr">
        <is>
          <t>※ 個人データが入る。提出後は台帳と一緒にクリアする（次回のチェックで上書きされる）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60" customWidth="1" min="4" max="4"/>
    <col width="13" customWidth="1" min="5" max="5"/>
    <col width="26" customWidth="1" min="6" max="6"/>
    <col width="40" customWidth="1" min="7" max="7"/>
    <col width="40" customWidth="1" min="8" max="8"/>
  </cols>
  <sheetData>
    <row r="1">
      <c r="A1" s="4" t="inlineStr">
        <is>
          <t>設定（初回と変更時のみ）</t>
        </is>
      </c>
    </row>
    <row r="2">
      <c r="A2" s="5" t="inlineStr">
        <is>
          <t>黄色の欄を実際の値に差し替える。ダミー値のまま提出しない</t>
        </is>
      </c>
    </row>
    <row r="4" ht="22" customHeight="1">
      <c r="B4" s="9" t="inlineStr">
        <is>
          <t>項目（名前）</t>
        </is>
      </c>
      <c r="C4" s="9" t="inlineStr">
        <is>
          <t>値</t>
        </is>
      </c>
      <c r="D4" s="9" t="inlineStr">
        <is>
          <t>説明</t>
        </is>
      </c>
    </row>
    <row r="5">
      <c r="B5" s="18" t="inlineStr">
        <is>
          <t>出力フォルダ</t>
        </is>
      </c>
      <c r="C5" s="24" t="inlineStr"/>
      <c r="D5" s="25" t="inlineStr">
        <is>
          <t>空欄＝このブックと同じ場所の「出力」フォルダ。人事部のみアクセスできる場所にする</t>
        </is>
      </c>
    </row>
    <row r="6">
      <c r="B6" s="18" t="inlineStr">
        <is>
          <t>文字コード</t>
        </is>
      </c>
      <c r="C6" s="24" t="inlineStr">
        <is>
          <t>Shift_JIS</t>
        </is>
      </c>
      <c r="D6" s="25" t="inlineStr">
        <is>
          <t>CSV仕様書に合わせる（Shift_JIS／UTF-8）</t>
        </is>
      </c>
    </row>
    <row r="7">
      <c r="B7" s="18" t="inlineStr">
        <is>
          <t>引用符</t>
        </is>
      </c>
      <c r="C7" s="24" t="inlineStr">
        <is>
          <t>しない</t>
        </is>
      </c>
      <c r="D7" s="25" t="inlineStr">
        <is>
          <t>各項目を " で囲むか（する／しない）。CSV仕様書に合わせる</t>
        </is>
      </c>
    </row>
    <row r="8">
      <c r="B8" s="18" t="inlineStr">
        <is>
          <t>法人名</t>
        </is>
      </c>
      <c r="C8" s="24" t="inlineStr">
        <is>
          <t>社会福祉法人○○会（要入力）</t>
        </is>
      </c>
      <c r="D8" s="25" t="inlineStr"/>
    </row>
    <row r="9">
      <c r="B9" s="18" t="inlineStr">
        <is>
          <t>事業主氏名</t>
        </is>
      </c>
      <c r="C9" s="24" t="inlineStr">
        <is>
          <t>理事長 ○○ ○○（要入力）</t>
        </is>
      </c>
      <c r="D9" s="25" t="inlineStr"/>
    </row>
    <row r="10">
      <c r="B10" s="18" t="inlineStr">
        <is>
          <t>事業所_郵便番号</t>
        </is>
      </c>
      <c r="C10" s="24" t="inlineStr">
        <is>
          <t>000-0000</t>
        </is>
      </c>
      <c r="D10" s="25" t="inlineStr">
        <is>
          <t>ダミー値</t>
        </is>
      </c>
    </row>
    <row r="11">
      <c r="B11" s="18" t="inlineStr">
        <is>
          <t>事業所_所在地</t>
        </is>
      </c>
      <c r="C11" s="24" t="inlineStr">
        <is>
          <t>長野県○○市○○（要入力）</t>
        </is>
      </c>
      <c r="D11" s="25" t="inlineStr"/>
    </row>
    <row r="12">
      <c r="B12" s="18" t="inlineStr">
        <is>
          <t>事業所_電話</t>
        </is>
      </c>
      <c r="C12" s="24" t="inlineStr">
        <is>
          <t>0000-00-0000</t>
        </is>
      </c>
      <c r="D12" s="25" t="inlineStr">
        <is>
          <t>ダミー値</t>
        </is>
      </c>
    </row>
    <row r="13">
      <c r="B13" s="18" t="inlineStr">
        <is>
          <t>事業所整理記号</t>
        </is>
      </c>
      <c r="C13" s="24" t="inlineStr">
        <is>
          <t>99ﾀﾞﾐ</t>
        </is>
      </c>
      <c r="D13" s="25" t="inlineStr">
        <is>
          <t>健保・厚年の事業所整理記号（ダミー値）。法人で1つ</t>
        </is>
      </c>
    </row>
    <row r="14">
      <c r="B14" s="18" t="inlineStr">
        <is>
          <t>事業所番号</t>
        </is>
      </c>
      <c r="C14" s="24" t="inlineStr">
        <is>
          <t>99999</t>
        </is>
      </c>
      <c r="D14" s="25" t="inlineStr">
        <is>
          <t>健保・厚年の事業所番号（ダミー値）</t>
        </is>
      </c>
    </row>
    <row r="15">
      <c r="B15" s="18" t="inlineStr">
        <is>
          <t>雇保事業所番号</t>
        </is>
      </c>
      <c r="C15" s="24" t="inlineStr">
        <is>
          <t>9999-999999-9</t>
        </is>
      </c>
      <c r="D15" s="25" t="inlineStr">
        <is>
          <t>雇用保険の適用事業所番号（ダミー値）。法人で1つ</t>
        </is>
      </c>
    </row>
    <row r="18">
      <c r="B18" s="6" t="inlineStr">
        <is>
          <t>■ 元号表（和暦の変換に使う）</t>
        </is>
      </c>
    </row>
    <row r="19" ht="22" customHeight="1">
      <c r="B19" s="9" t="inlineStr">
        <is>
          <t>元号</t>
        </is>
      </c>
      <c r="C19" s="9" t="inlineStr">
        <is>
          <t>開始日</t>
        </is>
      </c>
      <c r="D19" s="9" t="inlineStr">
        <is>
          <t>コード（CSV用）</t>
        </is>
      </c>
      <c r="E19" t="inlineStr">
        <is>
          <t>コードは届書様式の元号番号（5=昭和 7=平成 9=令和）。CSV仕様書で要確認</t>
        </is>
      </c>
    </row>
    <row r="20">
      <c r="B20" s="18" t="inlineStr">
        <is>
          <t>昭和</t>
        </is>
      </c>
      <c r="C20" s="26" t="n">
        <v>9856</v>
      </c>
      <c r="D20" s="27" t="inlineStr">
        <is>
          <t>5</t>
        </is>
      </c>
    </row>
    <row r="21">
      <c r="B21" s="18" t="inlineStr">
        <is>
          <t>平成</t>
        </is>
      </c>
      <c r="C21" s="26" t="n">
        <v>32516</v>
      </c>
      <c r="D21" s="27" t="inlineStr">
        <is>
          <t>7</t>
        </is>
      </c>
    </row>
    <row r="22">
      <c r="B22" s="18" t="inlineStr">
        <is>
          <t>令和</t>
        </is>
      </c>
      <c r="C22" s="26" t="n">
        <v>43586</v>
      </c>
      <c r="D22" s="27" t="inlineStr">
        <is>
          <t>9</t>
        </is>
      </c>
    </row>
    <row r="25">
      <c r="B25" s="6" t="inlineStr">
        <is>
          <t>■ 届種別一覧（出力シートの選択肢）</t>
        </is>
      </c>
    </row>
    <row r="26" ht="22" customHeight="1">
      <c r="B26" s="9" t="inlineStr">
        <is>
          <t>届種別</t>
        </is>
      </c>
      <c r="C26" s="9" t="inlineStr">
        <is>
          <t>対象台帳</t>
        </is>
      </c>
      <c r="D26" s="9" t="inlineStr">
        <is>
          <t>出力形式</t>
        </is>
      </c>
      <c r="E26" s="9" t="inlineStr">
        <is>
          <t>ファイル名</t>
        </is>
      </c>
      <c r="F26" s="9" t="inlineStr">
        <is>
          <t>確定</t>
        </is>
      </c>
      <c r="G26" s="9" t="inlineStr">
        <is>
          <t>対象条件</t>
        </is>
      </c>
      <c r="H26" s="9" t="inlineStr">
        <is>
          <t>説明</t>
        </is>
      </c>
    </row>
    <row r="27">
      <c r="B27" s="18" t="inlineStr">
        <is>
          <t>社保取得</t>
        </is>
      </c>
      <c r="C27" s="18" t="inlineStr">
        <is>
          <t>入職台帳</t>
        </is>
      </c>
      <c r="D27" s="7" t="inlineStr">
        <is>
          <t>CSV</t>
        </is>
      </c>
      <c r="E27" s="7" t="inlineStr"/>
      <c r="F27" s="7" t="inlineStr">
        <is>
          <t>未</t>
        </is>
      </c>
      <c r="G27" s="7" t="inlineStr">
        <is>
          <t>社会保険=加入</t>
        </is>
      </c>
      <c r="H27" s="18" t="inlineStr">
        <is>
          <t>届書作成プログラムに読み込むCSV</t>
        </is>
      </c>
    </row>
    <row r="28">
      <c r="B28" s="18" t="inlineStr">
        <is>
          <t>社保喪失</t>
        </is>
      </c>
      <c r="C28" s="18" t="inlineStr">
        <is>
          <t>退職台帳</t>
        </is>
      </c>
      <c r="D28" s="7" t="inlineStr">
        <is>
          <t>CSV</t>
        </is>
      </c>
      <c r="E28" s="7" t="inlineStr"/>
      <c r="F28" s="7" t="inlineStr">
        <is>
          <t>未</t>
        </is>
      </c>
      <c r="G28" s="7" t="inlineStr">
        <is>
          <t>社保資格喪失&lt;&gt;対象外</t>
        </is>
      </c>
      <c r="H28" s="18" t="inlineStr">
        <is>
          <t>退職DBの「社保 資格喪失」が対象外の人は除く</t>
        </is>
      </c>
    </row>
    <row r="29">
      <c r="B29" s="18" t="inlineStr">
        <is>
          <t>雇保取得</t>
        </is>
      </c>
      <c r="C29" s="18" t="inlineStr">
        <is>
          <t>入職台帳</t>
        </is>
      </c>
      <c r="D29" s="7" t="inlineStr">
        <is>
          <t>転記一覧</t>
        </is>
      </c>
      <c r="E29" s="7" t="inlineStr"/>
      <c r="F29" s="7" t="inlineStr">
        <is>
          <t>未</t>
        </is>
      </c>
      <c r="G29" s="7" t="inlineStr">
        <is>
          <t>雇用保険=加入</t>
        </is>
      </c>
      <c r="H29" s="18" t="inlineStr">
        <is>
          <t>届書作成プログラムのCSV取込に対応と確認できたらCSVに変更</t>
        </is>
      </c>
    </row>
    <row r="30">
      <c r="B30" s="18" t="inlineStr">
        <is>
          <t>雇保喪失</t>
        </is>
      </c>
      <c r="C30" s="18" t="inlineStr">
        <is>
          <t>退職台帳</t>
        </is>
      </c>
      <c r="D30" s="7" t="inlineStr">
        <is>
          <t>転記一覧</t>
        </is>
      </c>
      <c r="E30" s="7" t="inlineStr"/>
      <c r="F30" s="7" t="inlineStr">
        <is>
          <t>未</t>
        </is>
      </c>
      <c r="G30" s="7" t="inlineStr">
        <is>
          <t>雇保喪失手続&lt;&gt;対象外</t>
        </is>
      </c>
      <c r="H30" s="18" t="inlineStr">
        <is>
          <t>同上</t>
        </is>
      </c>
    </row>
    <row r="31">
      <c r="B31" t="inlineStr">
        <is>
          <t>確定＝CSV仕様書と突き合わせ、届書作成プログラムで取込エラー0を確認したら「済」にする。ファイル名＝仕様書で決まっていれば入れる（毎回新しいフォルダに作る）</t>
        </is>
      </c>
    </row>
    <row r="32">
      <c r="B32" t="inlineStr">
        <is>
          <t>対象条件＝「列名=値」「列名&lt;&gt;値」。○を付けた行のうち、条件に合う行だけを出力する</t>
        </is>
      </c>
    </row>
  </sheetData>
  <dataValidations count="4">
    <dataValidation sqref="C6" showDropDown="0" showInputMessage="0" showErrorMessage="0" allowBlank="1" errorTitle="入力できない値です" error="一覧から選んでください" type="list">
      <formula1>"Shift_JIS,UTF-8"</formula1>
    </dataValidation>
    <dataValidation sqref="C7" showDropDown="0" showInputMessage="0" showErrorMessage="0" allowBlank="1" errorTitle="入力できない値です" error="一覧から選んでください" type="list">
      <formula1>"する,しない"</formula1>
    </dataValidation>
    <dataValidation sqref="D27:D30" showDropDown="0" showInputMessage="0" showErrorMessage="0" allowBlank="1" errorTitle="入力できない値です" error="一覧から選んでください" type="list">
      <formula1>"CSV,転記一覧"</formula1>
    </dataValidation>
    <dataValidation sqref="F27:F30" showDropDown="0" showInputMessage="0" showErrorMessage="0" allowBlank="1" errorTitle="入力できない値です" error="一覧から選んでください" type="list">
      <formula1>"未,済"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/>
  </sheetPr>
  <dimension ref="A1:M30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26" customWidth="1" min="4" max="4"/>
    <col width="26" customWidth="1" min="5" max="5"/>
    <col width="10" customWidth="1" min="6" max="6"/>
    <col width="10" customWidth="1" min="7" max="7"/>
    <col width="6" customWidth="1" min="8" max="8"/>
    <col width="6" customWidth="1" min="9" max="9"/>
    <col width="20" customWidth="1" min="10" max="10"/>
    <col width="20" customWidth="1" min="11" max="11"/>
    <col width="50" customWidth="1" min="12" max="12"/>
    <col width="10" customWidth="1" min="13" max="13"/>
  </cols>
  <sheetData>
    <row r="1">
      <c r="A1" s="4" t="inlineStr">
        <is>
          <t>レイアウト定義（CSV・転記一覧の項目の並び）</t>
        </is>
      </c>
    </row>
    <row r="2">
      <c r="A2" s="5" t="inlineStr">
        <is>
          <t>1行＝1項目。CSV仕様書が変わったらここを直す（マクロは直さない）。M列に「重複」と出たら順番を直す</t>
        </is>
      </c>
    </row>
    <row r="4" ht="30" customHeight="1">
      <c r="A4" s="9" t="inlineStr">
        <is>
          <t>届種別</t>
        </is>
      </c>
      <c r="B4" s="9" t="inlineStr">
        <is>
          <t>行種別</t>
        </is>
      </c>
      <c r="C4" s="9" t="inlineStr">
        <is>
          <t>順番</t>
        </is>
      </c>
      <c r="D4" s="9" t="inlineStr">
        <is>
          <t>項目名</t>
        </is>
      </c>
      <c r="E4" s="9" t="inlineStr">
        <is>
          <t>取得元</t>
        </is>
      </c>
      <c r="F4" s="9" t="inlineStr">
        <is>
          <t>固定値</t>
        </is>
      </c>
      <c r="G4" s="9" t="inlineStr">
        <is>
          <t>書式</t>
        </is>
      </c>
      <c r="H4" s="9" t="inlineStr">
        <is>
          <t>桁数</t>
        </is>
      </c>
      <c r="I4" s="9" t="inlineStr">
        <is>
          <t>必須</t>
        </is>
      </c>
      <c r="J4" s="9" t="inlineStr">
        <is>
          <t>変換</t>
        </is>
      </c>
      <c r="K4" s="9" t="inlineStr">
        <is>
          <t>条件</t>
        </is>
      </c>
      <c r="L4" s="9" t="inlineStr">
        <is>
          <t>備考</t>
        </is>
      </c>
      <c r="M4" s="9" t="inlineStr">
        <is>
          <t>重複チェック</t>
        </is>
      </c>
    </row>
    <row r="5">
      <c r="A5" s="18" t="inlineStr">
        <is>
          <t>社保取得</t>
        </is>
      </c>
      <c r="B5" s="18" t="inlineStr">
        <is>
          <t>明細</t>
        </is>
      </c>
      <c r="C5" s="18" t="n">
        <v>1</v>
      </c>
      <c r="D5" s="18" t="inlineStr">
        <is>
          <t>届書コード</t>
        </is>
      </c>
      <c r="E5" s="18" t="inlineStr">
        <is>
          <t>固定</t>
        </is>
      </c>
      <c r="F5" s="7" t="inlineStr"/>
      <c r="G5" s="18" t="inlineStr">
        <is>
          <t>文字</t>
        </is>
      </c>
      <c r="H5" s="18" t="inlineStr"/>
      <c r="I5" s="18" t="inlineStr">
        <is>
          <t>○</t>
        </is>
      </c>
      <c r="J5" s="18" t="inlineStr"/>
      <c r="K5" s="18" t="inlineStr"/>
      <c r="L5" s="28" t="inlineStr">
        <is>
          <t>要確認：仕様書のレコード識別子（届書コード）を入れる</t>
        </is>
      </c>
      <c r="M5" s="8">
        <f>IF(A5="","",IF(COUNTIFS($A$5:$A$305,A5,$B$5:$B$305,B5,$C$5:$C$305,C5)&gt;1,"重複",""))</f>
        <v/>
      </c>
    </row>
    <row r="6">
      <c r="A6" s="18" t="inlineStr">
        <is>
          <t>社保取得</t>
        </is>
      </c>
      <c r="B6" s="18" t="inlineStr">
        <is>
          <t>明細</t>
        </is>
      </c>
      <c r="C6" s="18" t="n">
        <v>2</v>
      </c>
      <c r="D6" s="18" t="inlineStr">
        <is>
          <t>事業所整理記号</t>
        </is>
      </c>
      <c r="E6" s="18" t="inlineStr">
        <is>
          <t>設定:事業所整理記号</t>
        </is>
      </c>
      <c r="F6" s="18" t="inlineStr"/>
      <c r="G6" s="18" t="inlineStr">
        <is>
          <t>文字</t>
        </is>
      </c>
      <c r="H6" s="18" t="inlineStr"/>
      <c r="I6" s="18" t="inlineStr">
        <is>
          <t>○</t>
        </is>
      </c>
      <c r="J6" s="18" t="inlineStr"/>
      <c r="K6" s="18" t="inlineStr"/>
      <c r="L6" s="28" t="inlineStr">
        <is>
          <t>要確認：CSV仕様書で順番・桁数・書式を確認</t>
        </is>
      </c>
      <c r="M6" s="8">
        <f>IF(A6="","",IF(COUNTIFS($A$5:$A$305,A6,$B$5:$B$305,B6,$C$5:$C$305,C6)&gt;1,"重複",""))</f>
        <v/>
      </c>
    </row>
    <row r="7">
      <c r="A7" s="18" t="inlineStr">
        <is>
          <t>社保取得</t>
        </is>
      </c>
      <c r="B7" s="18" t="inlineStr">
        <is>
          <t>明細</t>
        </is>
      </c>
      <c r="C7" s="18" t="n">
        <v>3</v>
      </c>
      <c r="D7" s="18" t="inlineStr">
        <is>
          <t>事業所番号</t>
        </is>
      </c>
      <c r="E7" s="18" t="inlineStr">
        <is>
          <t>設定:事業所番号</t>
        </is>
      </c>
      <c r="F7" s="18" t="inlineStr"/>
      <c r="G7" s="18" t="inlineStr">
        <is>
          <t>文字</t>
        </is>
      </c>
      <c r="H7" s="18" t="inlineStr"/>
      <c r="I7" s="18" t="inlineStr">
        <is>
          <t>○</t>
        </is>
      </c>
      <c r="J7" s="18" t="inlineStr"/>
      <c r="K7" s="18" t="inlineStr"/>
      <c r="L7" s="28" t="inlineStr">
        <is>
          <t>要確認：CSV仕様書で順番・桁数・書式を確認</t>
        </is>
      </c>
      <c r="M7" s="8">
        <f>IF(A7="","",IF(COUNTIFS($A$5:$A$305,A7,$B$5:$B$305,B7,$C$5:$C$305,C7)&gt;1,"重複",""))</f>
        <v/>
      </c>
    </row>
    <row r="8">
      <c r="A8" s="18" t="inlineStr">
        <is>
          <t>社保取得</t>
        </is>
      </c>
      <c r="B8" s="18" t="inlineStr">
        <is>
          <t>明細</t>
        </is>
      </c>
      <c r="C8" s="18" t="n">
        <v>4</v>
      </c>
      <c r="D8" s="18" t="inlineStr">
        <is>
          <t>被保険者整理番号</t>
        </is>
      </c>
      <c r="E8" s="18" t="inlineStr">
        <is>
          <t>台帳:保険証番号</t>
        </is>
      </c>
      <c r="F8" s="18" t="inlineStr"/>
      <c r="G8" s="18" t="inlineStr">
        <is>
          <t>文字</t>
        </is>
      </c>
      <c r="H8" s="18" t="inlineStr"/>
      <c r="I8" s="18" t="inlineStr"/>
      <c r="J8" s="18" t="inlineStr">
        <is>
          <t>数字のみ</t>
        </is>
      </c>
      <c r="K8" s="18" t="inlineStr"/>
      <c r="L8" s="28" t="inlineStr">
        <is>
          <t>任意。空欄時の扱いは仕様書で確認</t>
        </is>
      </c>
      <c r="M8" s="8">
        <f>IF(A8="","",IF(COUNTIFS($A$5:$A$305,A8,$B$5:$B$305,B8,$C$5:$C$305,C8)&gt;1,"重複",""))</f>
        <v/>
      </c>
    </row>
    <row r="9">
      <c r="A9" s="18" t="inlineStr">
        <is>
          <t>社保取得</t>
        </is>
      </c>
      <c r="B9" s="18" t="inlineStr">
        <is>
          <t>明細</t>
        </is>
      </c>
      <c r="C9" s="18" t="n">
        <v>5</v>
      </c>
      <c r="D9" s="18" t="inlineStr">
        <is>
          <t>被保険者氏名カナ（氏）</t>
        </is>
      </c>
      <c r="E9" s="18" t="inlineStr">
        <is>
          <t>台帳:フリガナ</t>
        </is>
      </c>
      <c r="F9" s="18" t="inlineStr"/>
      <c r="G9" s="18" t="inlineStr">
        <is>
          <t>文字</t>
        </is>
      </c>
      <c r="H9" s="18" t="inlineStr"/>
      <c r="I9" s="18" t="inlineStr">
        <is>
          <t>○</t>
        </is>
      </c>
      <c r="J9" s="18" t="inlineStr">
        <is>
          <t>全角カナ+姓</t>
        </is>
      </c>
      <c r="K9" s="18" t="inlineStr"/>
      <c r="L9" s="28" t="inlineStr">
        <is>
          <t>要確認：CSV仕様書で順番・桁数・書式を確認（半角カナ指定の可能性）</t>
        </is>
      </c>
      <c r="M9" s="8">
        <f>IF(A9="","",IF(COUNTIFS($A$5:$A$305,A9,$B$5:$B$305,B9,$C$5:$C$305,C9)&gt;1,"重複",""))</f>
        <v/>
      </c>
    </row>
    <row r="10">
      <c r="A10" s="18" t="inlineStr">
        <is>
          <t>社保取得</t>
        </is>
      </c>
      <c r="B10" s="18" t="inlineStr">
        <is>
          <t>明細</t>
        </is>
      </c>
      <c r="C10" s="18" t="n">
        <v>6</v>
      </c>
      <c r="D10" s="18" t="inlineStr">
        <is>
          <t>被保険者氏名カナ（名）</t>
        </is>
      </c>
      <c r="E10" s="18" t="inlineStr">
        <is>
          <t>台帳:フリガナ</t>
        </is>
      </c>
      <c r="F10" s="18" t="inlineStr"/>
      <c r="G10" s="18" t="inlineStr">
        <is>
          <t>文字</t>
        </is>
      </c>
      <c r="H10" s="18" t="inlineStr"/>
      <c r="I10" s="18" t="inlineStr">
        <is>
          <t>○</t>
        </is>
      </c>
      <c r="J10" s="18" t="inlineStr">
        <is>
          <t>全角カナ+名</t>
        </is>
      </c>
      <c r="K10" s="18" t="inlineStr"/>
      <c r="L10" s="28" t="inlineStr">
        <is>
          <t>要確認：CSV仕様書で順番・桁数・書式を確認</t>
        </is>
      </c>
      <c r="M10" s="8">
        <f>IF(A10="","",IF(COUNTIFS($A$5:$A$305,A10,$B$5:$B$305,B10,$C$5:$C$305,C10)&gt;1,"重複",""))</f>
        <v/>
      </c>
    </row>
    <row r="11">
      <c r="A11" s="18" t="inlineStr">
        <is>
          <t>社保取得</t>
        </is>
      </c>
      <c r="B11" s="18" t="inlineStr">
        <is>
          <t>明細</t>
        </is>
      </c>
      <c r="C11" s="18" t="n">
        <v>7</v>
      </c>
      <c r="D11" s="18" t="inlineStr">
        <is>
          <t>被保険者氏名（氏）</t>
        </is>
      </c>
      <c r="E11" s="18" t="inlineStr">
        <is>
          <t>台帳:氏名</t>
        </is>
      </c>
      <c r="F11" s="18" t="inlineStr"/>
      <c r="G11" s="18" t="inlineStr">
        <is>
          <t>文字</t>
        </is>
      </c>
      <c r="H11" s="18" t="inlineStr"/>
      <c r="I11" s="18" t="inlineStr">
        <is>
          <t>○</t>
        </is>
      </c>
      <c r="J11" s="18" t="inlineStr">
        <is>
          <t>姓</t>
        </is>
      </c>
      <c r="K11" s="18" t="inlineStr"/>
      <c r="L11" s="28" t="inlineStr">
        <is>
          <t>要確認：CSV仕様書で順番・桁数・書式を確認</t>
        </is>
      </c>
      <c r="M11" s="8">
        <f>IF(A11="","",IF(COUNTIFS($A$5:$A$305,A11,$B$5:$B$305,B11,$C$5:$C$305,C11)&gt;1,"重複",""))</f>
        <v/>
      </c>
    </row>
    <row r="12">
      <c r="A12" s="18" t="inlineStr">
        <is>
          <t>社保取得</t>
        </is>
      </c>
      <c r="B12" s="18" t="inlineStr">
        <is>
          <t>明細</t>
        </is>
      </c>
      <c r="C12" s="18" t="n">
        <v>8</v>
      </c>
      <c r="D12" s="18" t="inlineStr">
        <is>
          <t>被保険者氏名（名）</t>
        </is>
      </c>
      <c r="E12" s="18" t="inlineStr">
        <is>
          <t>台帳:氏名</t>
        </is>
      </c>
      <c r="F12" s="18" t="inlineStr"/>
      <c r="G12" s="18" t="inlineStr">
        <is>
          <t>文字</t>
        </is>
      </c>
      <c r="H12" s="18" t="inlineStr"/>
      <c r="I12" s="18" t="inlineStr">
        <is>
          <t>○</t>
        </is>
      </c>
      <c r="J12" s="18" t="inlineStr">
        <is>
          <t>名</t>
        </is>
      </c>
      <c r="K12" s="18" t="inlineStr"/>
      <c r="L12" s="28" t="inlineStr">
        <is>
          <t>要確認：CSV仕様書で順番・桁数・書式を確認</t>
        </is>
      </c>
      <c r="M12" s="8">
        <f>IF(A12="","",IF(COUNTIFS($A$5:$A$305,A12,$B$5:$B$305,B12,$C$5:$C$305,C12)&gt;1,"重複",""))</f>
        <v/>
      </c>
    </row>
    <row r="13">
      <c r="A13" s="18" t="inlineStr">
        <is>
          <t>社保取得</t>
        </is>
      </c>
      <c r="B13" s="18" t="inlineStr">
        <is>
          <t>明細</t>
        </is>
      </c>
      <c r="C13" s="18" t="n">
        <v>9</v>
      </c>
      <c r="D13" s="18" t="inlineStr">
        <is>
          <t>生年月日</t>
        </is>
      </c>
      <c r="E13" s="18" t="inlineStr">
        <is>
          <t>台帳:生年月日</t>
        </is>
      </c>
      <c r="F13" s="18" t="inlineStr"/>
      <c r="G13" s="18" t="inlineStr">
        <is>
          <t>和暦7</t>
        </is>
      </c>
      <c r="H13" s="18" t="inlineStr"/>
      <c r="I13" s="18" t="inlineStr">
        <is>
          <t>○</t>
        </is>
      </c>
      <c r="J13" s="18" t="inlineStr"/>
      <c r="K13" s="18" t="inlineStr"/>
      <c r="L13" s="28" t="inlineStr">
        <is>
          <t>要確認：CSV仕様書で順番・桁数・書式を確認（元号と年月日を分ける場合は2行に分け「元号コード」「和暦6」）</t>
        </is>
      </c>
      <c r="M13" s="8">
        <f>IF(A13="","",IF(COUNTIFS($A$5:$A$305,A13,$B$5:$B$305,B13,$C$5:$C$305,C13)&gt;1,"重複",""))</f>
        <v/>
      </c>
    </row>
    <row r="14">
      <c r="A14" s="18" t="inlineStr">
        <is>
          <t>社保取得</t>
        </is>
      </c>
      <c r="B14" s="18" t="inlineStr">
        <is>
          <t>明細</t>
        </is>
      </c>
      <c r="C14" s="18" t="n">
        <v>10</v>
      </c>
      <c r="D14" s="18" t="inlineStr">
        <is>
          <t>種別</t>
        </is>
      </c>
      <c r="E14" s="18" t="inlineStr">
        <is>
          <t>台帳:性別</t>
        </is>
      </c>
      <c r="F14" s="18" t="inlineStr"/>
      <c r="G14" s="18" t="inlineStr">
        <is>
          <t>文字</t>
        </is>
      </c>
      <c r="H14" s="18" t="inlineStr"/>
      <c r="I14" s="18" t="inlineStr">
        <is>
          <t>○</t>
        </is>
      </c>
      <c r="J14" s="18" t="inlineStr">
        <is>
          <t>コード表:社保種別</t>
        </is>
      </c>
      <c r="K14" s="18" t="inlineStr"/>
      <c r="L14" s="28" t="inlineStr">
        <is>
          <t>要確認：CSV仕様書で順番・桁数・書式を確認</t>
        </is>
      </c>
      <c r="M14" s="8">
        <f>IF(A14="","",IF(COUNTIFS($A$5:$A$305,A14,$B$5:$B$305,B14,$C$5:$C$305,C14)&gt;1,"重複",""))</f>
        <v/>
      </c>
    </row>
    <row r="15">
      <c r="A15" s="18" t="inlineStr">
        <is>
          <t>社保取得</t>
        </is>
      </c>
      <c r="B15" s="18" t="inlineStr">
        <is>
          <t>明細</t>
        </is>
      </c>
      <c r="C15" s="18" t="n">
        <v>11</v>
      </c>
      <c r="D15" s="18" t="inlineStr">
        <is>
          <t>取得区分</t>
        </is>
      </c>
      <c r="E15" s="18" t="inlineStr">
        <is>
          <t>固定</t>
        </is>
      </c>
      <c r="F15" s="18" t="inlineStr">
        <is>
          <t>1</t>
        </is>
      </c>
      <c r="G15" s="18" t="inlineStr">
        <is>
          <t>文字</t>
        </is>
      </c>
      <c r="H15" s="18" t="inlineStr"/>
      <c r="I15" s="18" t="inlineStr">
        <is>
          <t>○</t>
        </is>
      </c>
      <c r="J15" s="18" t="inlineStr"/>
      <c r="K15" s="18" t="inlineStr"/>
      <c r="L15" s="28" t="inlineStr">
        <is>
          <t>様式の番号（1=健保・厚年）。要確認：CSV仕様書で順番・桁数・書式を確認</t>
        </is>
      </c>
      <c r="M15" s="8">
        <f>IF(A15="","",IF(COUNTIFS($A$5:$A$305,A15,$B$5:$B$305,B15,$C$5:$C$305,C15)&gt;1,"重複",""))</f>
        <v/>
      </c>
    </row>
    <row r="16">
      <c r="A16" s="18" t="inlineStr">
        <is>
          <t>社保取得</t>
        </is>
      </c>
      <c r="B16" s="18" t="inlineStr">
        <is>
          <t>明細</t>
        </is>
      </c>
      <c r="C16" s="18" t="n">
        <v>12</v>
      </c>
      <c r="D16" s="18" t="inlineStr">
        <is>
          <t>個人番号又は基礎年金番号</t>
        </is>
      </c>
      <c r="E16" s="18" t="inlineStr">
        <is>
          <t>台帳:基礎年金番号</t>
        </is>
      </c>
      <c r="F16" s="18" t="inlineStr"/>
      <c r="G16" s="18" t="inlineStr">
        <is>
          <t>文字</t>
        </is>
      </c>
      <c r="H16" s="18" t="inlineStr"/>
      <c r="I16" s="18" t="inlineStr"/>
      <c r="J16" s="18" t="inlineStr">
        <is>
          <t>数字のみ</t>
        </is>
      </c>
      <c r="K16" s="18" t="inlineStr"/>
      <c r="L16" s="28" t="inlineStr">
        <is>
          <t>マイナンバーはツールに入れない。空欄で出し、届書作成プログラム上で入力</t>
        </is>
      </c>
      <c r="M16" s="8">
        <f>IF(A16="","",IF(COUNTIFS($A$5:$A$305,A16,$B$5:$B$305,B16,$C$5:$C$305,C16)&gt;1,"重複",""))</f>
        <v/>
      </c>
    </row>
    <row r="17">
      <c r="A17" s="18" t="inlineStr">
        <is>
          <t>社保取得</t>
        </is>
      </c>
      <c r="B17" s="18" t="inlineStr">
        <is>
          <t>明細</t>
        </is>
      </c>
      <c r="C17" s="18" t="n">
        <v>13</v>
      </c>
      <c r="D17" s="18" t="inlineStr">
        <is>
          <t>取得年月日</t>
        </is>
      </c>
      <c r="E17" s="18" t="inlineStr">
        <is>
          <t>台帳:入職日</t>
        </is>
      </c>
      <c r="F17" s="18" t="inlineStr"/>
      <c r="G17" s="18" t="inlineStr">
        <is>
          <t>和暦7</t>
        </is>
      </c>
      <c r="H17" s="18" t="inlineStr"/>
      <c r="I17" s="18" t="inlineStr">
        <is>
          <t>○</t>
        </is>
      </c>
      <c r="J17" s="18" t="inlineStr"/>
      <c r="K17" s="18" t="inlineStr"/>
      <c r="L17" s="28" t="inlineStr">
        <is>
          <t>要確認：CSV仕様書で順番・桁数・書式を確認</t>
        </is>
      </c>
      <c r="M17" s="8">
        <f>IF(A17="","",IF(COUNTIFS($A$5:$A$305,A17,$B$5:$B$305,B17,$C$5:$C$305,C17)&gt;1,"重複",""))</f>
        <v/>
      </c>
    </row>
    <row r="18">
      <c r="A18" s="18" t="inlineStr">
        <is>
          <t>社保取得</t>
        </is>
      </c>
      <c r="B18" s="18" t="inlineStr">
        <is>
          <t>明細</t>
        </is>
      </c>
      <c r="C18" s="18" t="n">
        <v>14</v>
      </c>
      <c r="D18" s="18" t="inlineStr">
        <is>
          <t>被扶養者</t>
        </is>
      </c>
      <c r="E18" s="18" t="inlineStr">
        <is>
          <t>台帳:被扶養者</t>
        </is>
      </c>
      <c r="F18" s="18" t="inlineStr"/>
      <c r="G18" s="18" t="inlineStr">
        <is>
          <t>文字</t>
        </is>
      </c>
      <c r="H18" s="18" t="inlineStr"/>
      <c r="I18" s="18" t="inlineStr">
        <is>
          <t>○</t>
        </is>
      </c>
      <c r="J18" s="18" t="inlineStr">
        <is>
          <t>コード表:有無01</t>
        </is>
      </c>
      <c r="K18" s="18" t="inlineStr"/>
      <c r="L18" s="28" t="inlineStr">
        <is>
          <t>要確認：CSV仕様書で順番・桁数・書式を確認</t>
        </is>
      </c>
      <c r="M18" s="8">
        <f>IF(A18="","",IF(COUNTIFS($A$5:$A$305,A18,$B$5:$B$305,B18,$C$5:$C$305,C18)&gt;1,"重複",""))</f>
        <v/>
      </c>
    </row>
    <row r="19">
      <c r="A19" s="18" t="inlineStr">
        <is>
          <t>社保取得</t>
        </is>
      </c>
      <c r="B19" s="18" t="inlineStr">
        <is>
          <t>明細</t>
        </is>
      </c>
      <c r="C19" s="18" t="n">
        <v>15</v>
      </c>
      <c r="D19" s="18" t="inlineStr">
        <is>
          <t>報酬月額（通貨）</t>
        </is>
      </c>
      <c r="E19" s="18" t="inlineStr">
        <is>
          <t>台帳:報酬月額_通貨</t>
        </is>
      </c>
      <c r="F19" s="18" t="inlineStr"/>
      <c r="G19" s="18" t="inlineStr">
        <is>
          <t>数値</t>
        </is>
      </c>
      <c r="H19" s="18" t="inlineStr"/>
      <c r="I19" s="18" t="inlineStr">
        <is>
          <t>○</t>
        </is>
      </c>
      <c r="J19" s="18" t="inlineStr"/>
      <c r="K19" s="18" t="inlineStr"/>
      <c r="L19" s="28" t="inlineStr">
        <is>
          <t>要確認：CSV仕様書で順番・桁数・書式を確認</t>
        </is>
      </c>
      <c r="M19" s="8">
        <f>IF(A19="","",IF(COUNTIFS($A$5:$A$305,A19,$B$5:$B$305,B19,$C$5:$C$305,C19)&gt;1,"重複",""))</f>
        <v/>
      </c>
    </row>
    <row r="20">
      <c r="A20" s="18" t="inlineStr">
        <is>
          <t>社保取得</t>
        </is>
      </c>
      <c r="B20" s="18" t="inlineStr">
        <is>
          <t>明細</t>
        </is>
      </c>
      <c r="C20" s="18" t="n">
        <v>16</v>
      </c>
      <c r="D20" s="18" t="inlineStr">
        <is>
          <t>報酬月額（現物）</t>
        </is>
      </c>
      <c r="E20" s="18" t="inlineStr">
        <is>
          <t>台帳:報酬月額_現物</t>
        </is>
      </c>
      <c r="F20" s="18" t="inlineStr"/>
      <c r="G20" s="18" t="inlineStr">
        <is>
          <t>数値</t>
        </is>
      </c>
      <c r="H20" s="18" t="inlineStr"/>
      <c r="I20" s="18" t="inlineStr"/>
      <c r="J20" s="18" t="inlineStr"/>
      <c r="K20" s="18" t="inlineStr"/>
      <c r="L20" s="28" t="inlineStr">
        <is>
          <t>要確認：CSV仕様書で順番・桁数・書式を確認</t>
        </is>
      </c>
      <c r="M20" s="8">
        <f>IF(A20="","",IF(COUNTIFS($A$5:$A$305,A20,$B$5:$B$305,B20,$C$5:$C$305,C20)&gt;1,"重複",""))</f>
        <v/>
      </c>
    </row>
    <row r="21">
      <c r="A21" s="18" t="inlineStr">
        <is>
          <t>社保取得</t>
        </is>
      </c>
      <c r="B21" s="18" t="inlineStr">
        <is>
          <t>明細</t>
        </is>
      </c>
      <c r="C21" s="18" t="n">
        <v>17</v>
      </c>
      <c r="D21" s="18" t="inlineStr">
        <is>
          <t>報酬月額（合計）</t>
        </is>
      </c>
      <c r="E21" s="18" t="inlineStr">
        <is>
          <t>台帳:報酬月額_合計</t>
        </is>
      </c>
      <c r="F21" s="18" t="inlineStr"/>
      <c r="G21" s="18" t="inlineStr">
        <is>
          <t>数値</t>
        </is>
      </c>
      <c r="H21" s="18" t="inlineStr"/>
      <c r="I21" s="18" t="inlineStr">
        <is>
          <t>○</t>
        </is>
      </c>
      <c r="J21" s="18" t="inlineStr"/>
      <c r="K21" s="18" t="inlineStr"/>
      <c r="L21" s="28" t="inlineStr">
        <is>
          <t>要確認：CSV仕様書で順番・桁数・書式を確認</t>
        </is>
      </c>
      <c r="M21" s="8">
        <f>IF(A21="","",IF(COUNTIFS($A$5:$A$305,A21,$B$5:$B$305,B21,$C$5:$C$305,C21)&gt;1,"重複",""))</f>
        <v/>
      </c>
    </row>
    <row r="22">
      <c r="A22" s="18" t="inlineStr">
        <is>
          <t>社保取得</t>
        </is>
      </c>
      <c r="B22" s="18" t="inlineStr">
        <is>
          <t>明細</t>
        </is>
      </c>
      <c r="C22" s="18" t="n">
        <v>18</v>
      </c>
      <c r="D22" s="18" t="inlineStr">
        <is>
          <t>備考</t>
        </is>
      </c>
      <c r="E22" s="18" t="inlineStr">
        <is>
          <t>台帳:社保備考区分</t>
        </is>
      </c>
      <c r="F22" s="18" t="inlineStr"/>
      <c r="G22" s="18" t="inlineStr">
        <is>
          <t>文字</t>
        </is>
      </c>
      <c r="H22" s="18" t="inlineStr"/>
      <c r="I22" s="18" t="inlineStr"/>
      <c r="J22" s="18" t="inlineStr">
        <is>
          <t>コード表:社保備考</t>
        </is>
      </c>
      <c r="K22" s="18" t="inlineStr"/>
      <c r="L22" s="28" t="inlineStr">
        <is>
          <t>要確認：CSV仕様書で順番・桁数・書式を確認</t>
        </is>
      </c>
      <c r="M22" s="8">
        <f>IF(A22="","",IF(COUNTIFS($A$5:$A$305,A22,$B$5:$B$305,B22,$C$5:$C$305,C22)&gt;1,"重複",""))</f>
        <v/>
      </c>
    </row>
    <row r="23">
      <c r="A23" s="18" t="inlineStr">
        <is>
          <t>社保取得</t>
        </is>
      </c>
      <c r="B23" s="18" t="inlineStr">
        <is>
          <t>明細</t>
        </is>
      </c>
      <c r="C23" s="18" t="n">
        <v>19</v>
      </c>
      <c r="D23" s="18" t="inlineStr">
        <is>
          <t>郵便番号</t>
        </is>
      </c>
      <c r="E23" s="18" t="inlineStr">
        <is>
          <t>台帳:郵便番号</t>
        </is>
      </c>
      <c r="F23" s="18" t="inlineStr"/>
      <c r="G23" s="18" t="inlineStr">
        <is>
          <t>文字</t>
        </is>
      </c>
      <c r="H23" s="18" t="inlineStr"/>
      <c r="I23" s="18" t="inlineStr">
        <is>
          <t>○</t>
        </is>
      </c>
      <c r="J23" s="18" t="inlineStr">
        <is>
          <t>数字のみ</t>
        </is>
      </c>
      <c r="K23" s="18" t="inlineStr">
        <is>
          <t>基礎年金番号&lt;&gt;</t>
        </is>
      </c>
      <c r="L23" s="28" t="inlineStr">
        <is>
          <t>基礎年金番号で届け出る場合のみ必要</t>
        </is>
      </c>
      <c r="M23" s="8">
        <f>IF(A23="","",IF(COUNTIFS($A$5:$A$305,A23,$B$5:$B$305,B23,$C$5:$C$305,C23)&gt;1,"重複",""))</f>
        <v/>
      </c>
    </row>
    <row r="24">
      <c r="A24" s="18" t="inlineStr">
        <is>
          <t>社保取得</t>
        </is>
      </c>
      <c r="B24" s="18" t="inlineStr">
        <is>
          <t>明細</t>
        </is>
      </c>
      <c r="C24" s="18" t="n">
        <v>20</v>
      </c>
      <c r="D24" s="18" t="inlineStr">
        <is>
          <t>住所（カナ）</t>
        </is>
      </c>
      <c r="E24" s="18" t="inlineStr">
        <is>
          <t>台帳:住所カナ</t>
        </is>
      </c>
      <c r="F24" s="18" t="inlineStr"/>
      <c r="G24" s="18" t="inlineStr">
        <is>
          <t>文字</t>
        </is>
      </c>
      <c r="H24" s="18" t="inlineStr"/>
      <c r="I24" s="18" t="inlineStr">
        <is>
          <t>○</t>
        </is>
      </c>
      <c r="J24" s="18" t="inlineStr">
        <is>
          <t>全角カナ</t>
        </is>
      </c>
      <c r="K24" s="18" t="inlineStr">
        <is>
          <t>基礎年金番号&lt;&gt;</t>
        </is>
      </c>
      <c r="L24" s="28" t="inlineStr">
        <is>
          <t>同上</t>
        </is>
      </c>
      <c r="M24" s="8">
        <f>IF(A24="","",IF(COUNTIFS($A$5:$A$305,A24,$B$5:$B$305,B24,$C$5:$C$305,C24)&gt;1,"重複",""))</f>
        <v/>
      </c>
    </row>
    <row r="25">
      <c r="A25" s="18" t="inlineStr">
        <is>
          <t>社保取得</t>
        </is>
      </c>
      <c r="B25" s="18" t="inlineStr">
        <is>
          <t>明細</t>
        </is>
      </c>
      <c r="C25" s="18" t="n">
        <v>21</v>
      </c>
      <c r="D25" s="18" t="inlineStr">
        <is>
          <t>住所</t>
        </is>
      </c>
      <c r="E25" s="18" t="inlineStr">
        <is>
          <t>台帳:住所</t>
        </is>
      </c>
      <c r="F25" s="18" t="inlineStr"/>
      <c r="G25" s="18" t="inlineStr">
        <is>
          <t>文字</t>
        </is>
      </c>
      <c r="H25" s="18" t="inlineStr"/>
      <c r="I25" s="18" t="inlineStr">
        <is>
          <t>○</t>
        </is>
      </c>
      <c r="J25" s="18" t="inlineStr"/>
      <c r="K25" s="18" t="inlineStr">
        <is>
          <t>基礎年金番号&lt;&gt;</t>
        </is>
      </c>
      <c r="L25" s="28" t="inlineStr">
        <is>
          <t>同上</t>
        </is>
      </c>
      <c r="M25" s="8">
        <f>IF(A25="","",IF(COUNTIFS($A$5:$A$305,A25,$B$5:$B$305,B25,$C$5:$C$305,C25)&gt;1,"重複",""))</f>
        <v/>
      </c>
    </row>
    <row r="26">
      <c r="A26" s="18" t="inlineStr">
        <is>
          <t>社保喪失</t>
        </is>
      </c>
      <c r="B26" s="18" t="inlineStr">
        <is>
          <t>明細</t>
        </is>
      </c>
      <c r="C26" s="18" t="n">
        <v>1</v>
      </c>
      <c r="D26" s="18" t="inlineStr">
        <is>
          <t>届書コード</t>
        </is>
      </c>
      <c r="E26" s="18" t="inlineStr">
        <is>
          <t>固定</t>
        </is>
      </c>
      <c r="F26" s="7" t="inlineStr"/>
      <c r="G26" s="18" t="inlineStr">
        <is>
          <t>文字</t>
        </is>
      </c>
      <c r="H26" s="18" t="inlineStr"/>
      <c r="I26" s="18" t="inlineStr">
        <is>
          <t>○</t>
        </is>
      </c>
      <c r="J26" s="18" t="inlineStr"/>
      <c r="K26" s="18" t="inlineStr"/>
      <c r="L26" s="28" t="inlineStr">
        <is>
          <t>要確認：仕様書のレコード識別子（届書コード）を入れる</t>
        </is>
      </c>
      <c r="M26" s="8">
        <f>IF(A26="","",IF(COUNTIFS($A$5:$A$305,A26,$B$5:$B$305,B26,$C$5:$C$305,C26)&gt;1,"重複",""))</f>
        <v/>
      </c>
    </row>
    <row r="27">
      <c r="A27" s="18" t="inlineStr">
        <is>
          <t>社保喪失</t>
        </is>
      </c>
      <c r="B27" s="18" t="inlineStr">
        <is>
          <t>明細</t>
        </is>
      </c>
      <c r="C27" s="18" t="n">
        <v>2</v>
      </c>
      <c r="D27" s="18" t="inlineStr">
        <is>
          <t>事業所整理記号</t>
        </is>
      </c>
      <c r="E27" s="18" t="inlineStr">
        <is>
          <t>設定:事業所整理記号</t>
        </is>
      </c>
      <c r="F27" s="18" t="inlineStr"/>
      <c r="G27" s="18" t="inlineStr">
        <is>
          <t>文字</t>
        </is>
      </c>
      <c r="H27" s="18" t="inlineStr"/>
      <c r="I27" s="18" t="inlineStr">
        <is>
          <t>○</t>
        </is>
      </c>
      <c r="J27" s="18" t="inlineStr"/>
      <c r="K27" s="18" t="inlineStr"/>
      <c r="L27" s="28" t="inlineStr">
        <is>
          <t>要確認：CSV仕様書で順番・桁数・書式を確認</t>
        </is>
      </c>
      <c r="M27" s="8">
        <f>IF(A27="","",IF(COUNTIFS($A$5:$A$305,A27,$B$5:$B$305,B27,$C$5:$C$305,C27)&gt;1,"重複",""))</f>
        <v/>
      </c>
    </row>
    <row r="28">
      <c r="A28" s="18" t="inlineStr">
        <is>
          <t>社保喪失</t>
        </is>
      </c>
      <c r="B28" s="18" t="inlineStr">
        <is>
          <t>明細</t>
        </is>
      </c>
      <c r="C28" s="18" t="n">
        <v>3</v>
      </c>
      <c r="D28" s="18" t="inlineStr">
        <is>
          <t>事業所番号</t>
        </is>
      </c>
      <c r="E28" s="18" t="inlineStr">
        <is>
          <t>設定:事業所番号</t>
        </is>
      </c>
      <c r="F28" s="18" t="inlineStr"/>
      <c r="G28" s="18" t="inlineStr">
        <is>
          <t>文字</t>
        </is>
      </c>
      <c r="H28" s="18" t="inlineStr"/>
      <c r="I28" s="18" t="inlineStr">
        <is>
          <t>○</t>
        </is>
      </c>
      <c r="J28" s="18" t="inlineStr"/>
      <c r="K28" s="18" t="inlineStr"/>
      <c r="L28" s="28" t="inlineStr">
        <is>
          <t>要確認：CSV仕様書で順番・桁数・書式を確認</t>
        </is>
      </c>
      <c r="M28" s="8">
        <f>IF(A28="","",IF(COUNTIFS($A$5:$A$305,A28,$B$5:$B$305,B28,$C$5:$C$305,C28)&gt;1,"重複",""))</f>
        <v/>
      </c>
    </row>
    <row r="29">
      <c r="A29" s="18" t="inlineStr">
        <is>
          <t>社保喪失</t>
        </is>
      </c>
      <c r="B29" s="18" t="inlineStr">
        <is>
          <t>明細</t>
        </is>
      </c>
      <c r="C29" s="18" t="n">
        <v>4</v>
      </c>
      <c r="D29" s="18" t="inlineStr">
        <is>
          <t>被保険者整理番号</t>
        </is>
      </c>
      <c r="E29" s="18" t="inlineStr">
        <is>
          <t>台帳:被保険者整理番号</t>
        </is>
      </c>
      <c r="F29" s="18" t="inlineStr"/>
      <c r="G29" s="18" t="inlineStr">
        <is>
          <t>文字</t>
        </is>
      </c>
      <c r="H29" s="18" t="inlineStr"/>
      <c r="I29" s="18" t="inlineStr">
        <is>
          <t>○</t>
        </is>
      </c>
      <c r="J29" s="18" t="inlineStr">
        <is>
          <t>数字のみ</t>
        </is>
      </c>
      <c r="K29" s="18" t="inlineStr"/>
      <c r="L29" s="28" t="inlineStr">
        <is>
          <t>入職DBの「保険証番号」と同じ番号</t>
        </is>
      </c>
      <c r="M29" s="8">
        <f>IF(A29="","",IF(COUNTIFS($A$5:$A$305,A29,$B$5:$B$305,B29,$C$5:$C$305,C29)&gt;1,"重複",""))</f>
        <v/>
      </c>
    </row>
    <row r="30">
      <c r="A30" s="18" t="inlineStr">
        <is>
          <t>社保喪失</t>
        </is>
      </c>
      <c r="B30" s="18" t="inlineStr">
        <is>
          <t>明細</t>
        </is>
      </c>
      <c r="C30" s="18" t="n">
        <v>5</v>
      </c>
      <c r="D30" s="18" t="inlineStr">
        <is>
          <t>被保険者氏名カナ（氏）</t>
        </is>
      </c>
      <c r="E30" s="18" t="inlineStr">
        <is>
          <t>台帳:フリガナ</t>
        </is>
      </c>
      <c r="F30" s="18" t="inlineStr"/>
      <c r="G30" s="18" t="inlineStr">
        <is>
          <t>文字</t>
        </is>
      </c>
      <c r="H30" s="18" t="inlineStr"/>
      <c r="I30" s="18" t="inlineStr">
        <is>
          <t>○</t>
        </is>
      </c>
      <c r="J30" s="18" t="inlineStr">
        <is>
          <t>全角カナ+姓</t>
        </is>
      </c>
      <c r="K30" s="18" t="inlineStr"/>
      <c r="L30" s="28" t="inlineStr">
        <is>
          <t>要確認：CSV仕様書で順番・桁数・書式を確認</t>
        </is>
      </c>
      <c r="M30" s="8">
        <f>IF(A30="","",IF(COUNTIFS($A$5:$A$305,A30,$B$5:$B$305,B30,$C$5:$C$305,C30)&gt;1,"重複",""))</f>
        <v/>
      </c>
    </row>
    <row r="31">
      <c r="A31" s="18" t="inlineStr">
        <is>
          <t>社保喪失</t>
        </is>
      </c>
      <c r="B31" s="18" t="inlineStr">
        <is>
          <t>明細</t>
        </is>
      </c>
      <c r="C31" s="18" t="n">
        <v>6</v>
      </c>
      <c r="D31" s="18" t="inlineStr">
        <is>
          <t>被保険者氏名カナ（名）</t>
        </is>
      </c>
      <c r="E31" s="18" t="inlineStr">
        <is>
          <t>台帳:フリガナ</t>
        </is>
      </c>
      <c r="F31" s="18" t="inlineStr"/>
      <c r="G31" s="18" t="inlineStr">
        <is>
          <t>文字</t>
        </is>
      </c>
      <c r="H31" s="18" t="inlineStr"/>
      <c r="I31" s="18" t="inlineStr">
        <is>
          <t>○</t>
        </is>
      </c>
      <c r="J31" s="18" t="inlineStr">
        <is>
          <t>全角カナ+名</t>
        </is>
      </c>
      <c r="K31" s="18" t="inlineStr"/>
      <c r="L31" s="28" t="inlineStr">
        <is>
          <t>要確認：CSV仕様書で順番・桁数・書式を確認</t>
        </is>
      </c>
      <c r="M31" s="8">
        <f>IF(A31="","",IF(COUNTIFS($A$5:$A$305,A31,$B$5:$B$305,B31,$C$5:$C$305,C31)&gt;1,"重複",""))</f>
        <v/>
      </c>
    </row>
    <row r="32">
      <c r="A32" s="18" t="inlineStr">
        <is>
          <t>社保喪失</t>
        </is>
      </c>
      <c r="B32" s="18" t="inlineStr">
        <is>
          <t>明細</t>
        </is>
      </c>
      <c r="C32" s="18" t="n">
        <v>7</v>
      </c>
      <c r="D32" s="18" t="inlineStr">
        <is>
          <t>被保険者氏名（氏）</t>
        </is>
      </c>
      <c r="E32" s="18" t="inlineStr">
        <is>
          <t>台帳:氏名</t>
        </is>
      </c>
      <c r="F32" s="18" t="inlineStr"/>
      <c r="G32" s="18" t="inlineStr">
        <is>
          <t>文字</t>
        </is>
      </c>
      <c r="H32" s="18" t="inlineStr"/>
      <c r="I32" s="18" t="inlineStr">
        <is>
          <t>○</t>
        </is>
      </c>
      <c r="J32" s="18" t="inlineStr">
        <is>
          <t>姓</t>
        </is>
      </c>
      <c r="K32" s="18" t="inlineStr"/>
      <c r="L32" s="28" t="inlineStr">
        <is>
          <t>要確認：CSV仕様書で順番・桁数・書式を確認</t>
        </is>
      </c>
      <c r="M32" s="8">
        <f>IF(A32="","",IF(COUNTIFS($A$5:$A$305,A32,$B$5:$B$305,B32,$C$5:$C$305,C32)&gt;1,"重複",""))</f>
        <v/>
      </c>
    </row>
    <row r="33">
      <c r="A33" s="18" t="inlineStr">
        <is>
          <t>社保喪失</t>
        </is>
      </c>
      <c r="B33" s="18" t="inlineStr">
        <is>
          <t>明細</t>
        </is>
      </c>
      <c r="C33" s="18" t="n">
        <v>8</v>
      </c>
      <c r="D33" s="18" t="inlineStr">
        <is>
          <t>被保険者氏名（名）</t>
        </is>
      </c>
      <c r="E33" s="18" t="inlineStr">
        <is>
          <t>台帳:氏名</t>
        </is>
      </c>
      <c r="F33" s="18" t="inlineStr"/>
      <c r="G33" s="18" t="inlineStr">
        <is>
          <t>文字</t>
        </is>
      </c>
      <c r="H33" s="18" t="inlineStr"/>
      <c r="I33" s="18" t="inlineStr">
        <is>
          <t>○</t>
        </is>
      </c>
      <c r="J33" s="18" t="inlineStr">
        <is>
          <t>名</t>
        </is>
      </c>
      <c r="K33" s="18" t="inlineStr"/>
      <c r="L33" s="28" t="inlineStr">
        <is>
          <t>要確認：CSV仕様書で順番・桁数・書式を確認</t>
        </is>
      </c>
      <c r="M33" s="8">
        <f>IF(A33="","",IF(COUNTIFS($A$5:$A$305,A33,$B$5:$B$305,B33,$C$5:$C$305,C33)&gt;1,"重複",""))</f>
        <v/>
      </c>
    </row>
    <row r="34">
      <c r="A34" s="18" t="inlineStr">
        <is>
          <t>社保喪失</t>
        </is>
      </c>
      <c r="B34" s="18" t="inlineStr">
        <is>
          <t>明細</t>
        </is>
      </c>
      <c r="C34" s="18" t="n">
        <v>9</v>
      </c>
      <c r="D34" s="18" t="inlineStr">
        <is>
          <t>生年月日</t>
        </is>
      </c>
      <c r="E34" s="18" t="inlineStr">
        <is>
          <t>台帳:生年月日</t>
        </is>
      </c>
      <c r="F34" s="18" t="inlineStr"/>
      <c r="G34" s="18" t="inlineStr">
        <is>
          <t>和暦7</t>
        </is>
      </c>
      <c r="H34" s="18" t="inlineStr"/>
      <c r="I34" s="18" t="inlineStr">
        <is>
          <t>○</t>
        </is>
      </c>
      <c r="J34" s="18" t="inlineStr"/>
      <c r="K34" s="18" t="inlineStr"/>
      <c r="L34" s="28" t="inlineStr">
        <is>
          <t>要確認：CSV仕様書で順番・桁数・書式を確認</t>
        </is>
      </c>
      <c r="M34" s="8">
        <f>IF(A34="","",IF(COUNTIFS($A$5:$A$305,A34,$B$5:$B$305,B34,$C$5:$C$305,C34)&gt;1,"重複",""))</f>
        <v/>
      </c>
    </row>
    <row r="35">
      <c r="A35" s="18" t="inlineStr">
        <is>
          <t>社保喪失</t>
        </is>
      </c>
      <c r="B35" s="18" t="inlineStr">
        <is>
          <t>明細</t>
        </is>
      </c>
      <c r="C35" s="18" t="n">
        <v>10</v>
      </c>
      <c r="D35" s="18" t="inlineStr">
        <is>
          <t>個人番号又は基礎年金番号</t>
        </is>
      </c>
      <c r="E35" s="18" t="inlineStr">
        <is>
          <t>台帳:基礎年金番号</t>
        </is>
      </c>
      <c r="F35" s="18" t="inlineStr"/>
      <c r="G35" s="18" t="inlineStr">
        <is>
          <t>文字</t>
        </is>
      </c>
      <c r="H35" s="18" t="inlineStr"/>
      <c r="I35" s="18" t="inlineStr"/>
      <c r="J35" s="18" t="inlineStr">
        <is>
          <t>数字のみ</t>
        </is>
      </c>
      <c r="K35" s="18" t="inlineStr"/>
      <c r="L35" s="28" t="inlineStr">
        <is>
          <t>マイナンバーは届書作成プログラム上で入力</t>
        </is>
      </c>
      <c r="M35" s="8">
        <f>IF(A35="","",IF(COUNTIFS($A$5:$A$305,A35,$B$5:$B$305,B35,$C$5:$C$305,C35)&gt;1,"重複",""))</f>
        <v/>
      </c>
    </row>
    <row r="36">
      <c r="A36" s="18" t="inlineStr">
        <is>
          <t>社保喪失</t>
        </is>
      </c>
      <c r="B36" s="18" t="inlineStr">
        <is>
          <t>明細</t>
        </is>
      </c>
      <c r="C36" s="18" t="n">
        <v>11</v>
      </c>
      <c r="D36" s="18" t="inlineStr">
        <is>
          <t>喪失年月日</t>
        </is>
      </c>
      <c r="E36" s="18" t="inlineStr">
        <is>
          <t>台帳:退職日</t>
        </is>
      </c>
      <c r="F36" s="18" t="inlineStr"/>
      <c r="G36" s="18" t="inlineStr">
        <is>
          <t>和暦7</t>
        </is>
      </c>
      <c r="H36" s="18" t="inlineStr"/>
      <c r="I36" s="18" t="inlineStr">
        <is>
          <t>○</t>
        </is>
      </c>
      <c r="J36" s="18" t="inlineStr">
        <is>
          <t>翌日</t>
        </is>
      </c>
      <c r="K36" s="18" t="inlineStr"/>
      <c r="L36" s="28" t="inlineStr">
        <is>
          <t>退職日の翌日。死亡は死亡日の翌日</t>
        </is>
      </c>
      <c r="M36" s="8">
        <f>IF(A36="","",IF(COUNTIFS($A$5:$A$305,A36,$B$5:$B$305,B36,$C$5:$C$305,C36)&gt;1,"重複",""))</f>
        <v/>
      </c>
    </row>
    <row r="37">
      <c r="A37" s="18" t="inlineStr">
        <is>
          <t>社保喪失</t>
        </is>
      </c>
      <c r="B37" s="18" t="inlineStr">
        <is>
          <t>明細</t>
        </is>
      </c>
      <c r="C37" s="18" t="n">
        <v>12</v>
      </c>
      <c r="D37" s="18" t="inlineStr">
        <is>
          <t>喪失原因</t>
        </is>
      </c>
      <c r="E37" s="18" t="inlineStr">
        <is>
          <t>台帳:社保喪失原因</t>
        </is>
      </c>
      <c r="F37" s="18" t="inlineStr"/>
      <c r="G37" s="18" t="inlineStr">
        <is>
          <t>文字</t>
        </is>
      </c>
      <c r="H37" s="18" t="inlineStr"/>
      <c r="I37" s="18" t="inlineStr">
        <is>
          <t>○</t>
        </is>
      </c>
      <c r="J37" s="18" t="inlineStr">
        <is>
          <t>コード表:社保喪失原因</t>
        </is>
      </c>
      <c r="K37" s="18" t="inlineStr"/>
      <c r="L37" s="28" t="inlineStr">
        <is>
          <t>要確認：CSV仕様書で順番・桁数・書式を確認</t>
        </is>
      </c>
      <c r="M37" s="8">
        <f>IF(A37="","",IF(COUNTIFS($A$5:$A$305,A37,$B$5:$B$305,B37,$C$5:$C$305,C37)&gt;1,"重複",""))</f>
        <v/>
      </c>
    </row>
    <row r="38">
      <c r="A38" s="18" t="inlineStr">
        <is>
          <t>社保喪失</t>
        </is>
      </c>
      <c r="B38" s="18" t="inlineStr">
        <is>
          <t>明細</t>
        </is>
      </c>
      <c r="C38" s="18" t="n">
        <v>13</v>
      </c>
      <c r="D38" s="18" t="inlineStr">
        <is>
          <t>退職等年月日</t>
        </is>
      </c>
      <c r="E38" s="18" t="inlineStr">
        <is>
          <t>台帳:退職日</t>
        </is>
      </c>
      <c r="F38" s="18" t="inlineStr"/>
      <c r="G38" s="18" t="inlineStr">
        <is>
          <t>和暦7</t>
        </is>
      </c>
      <c r="H38" s="18" t="inlineStr"/>
      <c r="I38" s="18" t="inlineStr">
        <is>
          <t>○</t>
        </is>
      </c>
      <c r="J38" s="18" t="inlineStr"/>
      <c r="K38" s="18" t="inlineStr">
        <is>
          <t>社保喪失原因=退職等</t>
        </is>
      </c>
      <c r="L38" s="28" t="inlineStr">
        <is>
          <t>要確認：CSV仕様書で順番・桁数・書式を確認</t>
        </is>
      </c>
      <c r="M38" s="8">
        <f>IF(A38="","",IF(COUNTIFS($A$5:$A$305,A38,$B$5:$B$305,B38,$C$5:$C$305,C38)&gt;1,"重複",""))</f>
        <v/>
      </c>
    </row>
    <row r="39">
      <c r="A39" s="18" t="inlineStr">
        <is>
          <t>社保喪失</t>
        </is>
      </c>
      <c r="B39" s="18" t="inlineStr">
        <is>
          <t>明細</t>
        </is>
      </c>
      <c r="C39" s="18" t="n">
        <v>14</v>
      </c>
      <c r="D39" s="18" t="inlineStr">
        <is>
          <t>備考</t>
        </is>
      </c>
      <c r="E39" s="18" t="inlineStr">
        <is>
          <t>台帳:社保喪失備考</t>
        </is>
      </c>
      <c r="F39" s="18" t="inlineStr"/>
      <c r="G39" s="18" t="inlineStr">
        <is>
          <t>文字</t>
        </is>
      </c>
      <c r="H39" s="18" t="inlineStr"/>
      <c r="I39" s="18" t="inlineStr"/>
      <c r="J39" s="18" t="inlineStr">
        <is>
          <t>コード表:社保喪失備考</t>
        </is>
      </c>
      <c r="K39" s="18" t="inlineStr"/>
      <c r="L39" s="28" t="inlineStr">
        <is>
          <t>要確認：CSV仕様書で順番・桁数・書式を確認</t>
        </is>
      </c>
      <c r="M39" s="8">
        <f>IF(A39="","",IF(COUNTIFS($A$5:$A$305,A39,$B$5:$B$305,B39,$C$5:$C$305,C39)&gt;1,"重複",""))</f>
        <v/>
      </c>
    </row>
    <row r="40">
      <c r="A40" s="18" t="inlineStr">
        <is>
          <t>社保喪失</t>
        </is>
      </c>
      <c r="B40" s="18" t="inlineStr">
        <is>
          <t>明細</t>
        </is>
      </c>
      <c r="C40" s="18" t="n">
        <v>15</v>
      </c>
      <c r="D40" s="18" t="inlineStr">
        <is>
          <t>70歳以上被用者不該当</t>
        </is>
      </c>
      <c r="E40" s="18" t="inlineStr">
        <is>
          <t>固定</t>
        </is>
      </c>
      <c r="F40" s="18" t="inlineStr">
        <is>
          <t>1</t>
        </is>
      </c>
      <c r="G40" s="18" t="inlineStr">
        <is>
          <t>文字</t>
        </is>
      </c>
      <c r="H40" s="18" t="inlineStr"/>
      <c r="I40" s="18" t="inlineStr"/>
      <c r="J40" s="18" t="inlineStr"/>
      <c r="K40" s="18" t="inlineStr">
        <is>
          <t>70歳以上不該当=有</t>
        </is>
      </c>
      <c r="L40" s="28" t="inlineStr">
        <is>
          <t>要確認：CSV仕様書で順番・桁数・書式を確認</t>
        </is>
      </c>
      <c r="M40" s="8">
        <f>IF(A40="","",IF(COUNTIFS($A$5:$A$305,A40,$B$5:$B$305,B40,$C$5:$C$305,C40)&gt;1,"重複",""))</f>
        <v/>
      </c>
    </row>
    <row r="41">
      <c r="A41" s="18" t="inlineStr">
        <is>
          <t>社保喪失</t>
        </is>
      </c>
      <c r="B41" s="18" t="inlineStr">
        <is>
          <t>明細</t>
        </is>
      </c>
      <c r="C41" s="18" t="n">
        <v>16</v>
      </c>
      <c r="D41" s="18" t="inlineStr">
        <is>
          <t>不該当年月日</t>
        </is>
      </c>
      <c r="E41" s="18" t="inlineStr">
        <is>
          <t>台帳:退職日</t>
        </is>
      </c>
      <c r="F41" s="18" t="inlineStr"/>
      <c r="G41" s="18" t="inlineStr">
        <is>
          <t>和暦7</t>
        </is>
      </c>
      <c r="H41" s="18" t="inlineStr"/>
      <c r="I41" s="18" t="inlineStr">
        <is>
          <t>○</t>
        </is>
      </c>
      <c r="J41" s="18" t="inlineStr"/>
      <c r="K41" s="18" t="inlineStr">
        <is>
          <t>70歳以上不該当=有</t>
        </is>
      </c>
      <c r="L41" s="28" t="inlineStr">
        <is>
          <t>要確認：CSV仕様書で順番・桁数・書式を確認</t>
        </is>
      </c>
      <c r="M41" s="8">
        <f>IF(A41="","",IF(COUNTIFS($A$5:$A$305,A41,$B$5:$B$305,B41,$C$5:$C$305,C41)&gt;1,"重複",""))</f>
        <v/>
      </c>
    </row>
    <row r="42">
      <c r="A42" s="18" t="inlineStr">
        <is>
          <t>雇保取得</t>
        </is>
      </c>
      <c r="B42" s="18" t="inlineStr">
        <is>
          <t>明細</t>
        </is>
      </c>
      <c r="C42" s="18" t="n">
        <v>1</v>
      </c>
      <c r="D42" s="18" t="inlineStr">
        <is>
          <t>被保険者番号</t>
        </is>
      </c>
      <c r="E42" s="18" t="inlineStr">
        <is>
          <t>台帳:雇保被保険者番号</t>
        </is>
      </c>
      <c r="F42" s="18" t="inlineStr"/>
      <c r="G42" s="18" t="inlineStr">
        <is>
          <t>文字</t>
        </is>
      </c>
      <c r="H42" s="18" t="inlineStr"/>
      <c r="I42" s="18" t="inlineStr">
        <is>
          <t>○</t>
        </is>
      </c>
      <c r="J42" s="18" t="inlineStr"/>
      <c r="K42" s="18" t="inlineStr">
        <is>
          <t>雇保取得区分=再取得</t>
        </is>
      </c>
      <c r="L42" s="28" t="inlineStr">
        <is>
          <t>再取得のときのみ</t>
        </is>
      </c>
      <c r="M42" s="8">
        <f>IF(A42="","",IF(COUNTIFS($A$5:$A$305,A42,$B$5:$B$305,B42,$C$5:$C$305,C42)&gt;1,"重複",""))</f>
        <v/>
      </c>
    </row>
    <row r="43">
      <c r="A43" s="18" t="inlineStr">
        <is>
          <t>雇保取得</t>
        </is>
      </c>
      <c r="B43" s="18" t="inlineStr">
        <is>
          <t>明細</t>
        </is>
      </c>
      <c r="C43" s="18" t="n">
        <v>2</v>
      </c>
      <c r="D43" s="18" t="inlineStr">
        <is>
          <t>取得区分</t>
        </is>
      </c>
      <c r="E43" s="18" t="inlineStr">
        <is>
          <t>台帳:雇保取得区分</t>
        </is>
      </c>
      <c r="F43" s="18" t="inlineStr"/>
      <c r="G43" s="18" t="inlineStr">
        <is>
          <t>文字</t>
        </is>
      </c>
      <c r="H43" s="18" t="inlineStr"/>
      <c r="I43" s="18" t="inlineStr">
        <is>
          <t>○</t>
        </is>
      </c>
      <c r="J43" s="18" t="inlineStr"/>
      <c r="K43" s="18" t="inlineStr"/>
      <c r="L43" s="28" t="inlineStr"/>
      <c r="M43" s="8">
        <f>IF(A43="","",IF(COUNTIFS($A$5:$A$305,A43,$B$5:$B$305,B43,$C$5:$C$305,C43)&gt;1,"重複",""))</f>
        <v/>
      </c>
    </row>
    <row r="44">
      <c r="A44" s="18" t="inlineStr">
        <is>
          <t>雇保取得</t>
        </is>
      </c>
      <c r="B44" s="18" t="inlineStr">
        <is>
          <t>明細</t>
        </is>
      </c>
      <c r="C44" s="18" t="n">
        <v>3</v>
      </c>
      <c r="D44" s="18" t="inlineStr">
        <is>
          <t>被保険者氏名</t>
        </is>
      </c>
      <c r="E44" s="18" t="inlineStr">
        <is>
          <t>台帳:氏名</t>
        </is>
      </c>
      <c r="F44" s="18" t="inlineStr"/>
      <c r="G44" s="18" t="inlineStr">
        <is>
          <t>文字</t>
        </is>
      </c>
      <c r="H44" s="18" t="inlineStr"/>
      <c r="I44" s="18" t="inlineStr">
        <is>
          <t>○</t>
        </is>
      </c>
      <c r="J44" s="18" t="inlineStr"/>
      <c r="K44" s="18" t="inlineStr"/>
      <c r="L44" s="28" t="inlineStr"/>
      <c r="M44" s="8">
        <f>IF(A44="","",IF(COUNTIFS($A$5:$A$305,A44,$B$5:$B$305,B44,$C$5:$C$305,C44)&gt;1,"重複",""))</f>
        <v/>
      </c>
    </row>
    <row r="45">
      <c r="A45" s="18" t="inlineStr">
        <is>
          <t>雇保取得</t>
        </is>
      </c>
      <c r="B45" s="18" t="inlineStr">
        <is>
          <t>明細</t>
        </is>
      </c>
      <c r="C45" s="18" t="n">
        <v>4</v>
      </c>
      <c r="D45" s="18" t="inlineStr">
        <is>
          <t>フリガナ（カタカナ）</t>
        </is>
      </c>
      <c r="E45" s="18" t="inlineStr">
        <is>
          <t>台帳:フリガナ</t>
        </is>
      </c>
      <c r="F45" s="18" t="inlineStr"/>
      <c r="G45" s="18" t="inlineStr">
        <is>
          <t>文字</t>
        </is>
      </c>
      <c r="H45" s="18" t="inlineStr"/>
      <c r="I45" s="18" t="inlineStr">
        <is>
          <t>○</t>
        </is>
      </c>
      <c r="J45" s="18" t="inlineStr">
        <is>
          <t>全角カナ</t>
        </is>
      </c>
      <c r="K45" s="18" t="inlineStr"/>
      <c r="L45" s="28" t="inlineStr"/>
      <c r="M45" s="8">
        <f>IF(A45="","",IF(COUNTIFS($A$5:$A$305,A45,$B$5:$B$305,B45,$C$5:$C$305,C45)&gt;1,"重複",""))</f>
        <v/>
      </c>
    </row>
    <row r="46">
      <c r="A46" s="18" t="inlineStr">
        <is>
          <t>雇保取得</t>
        </is>
      </c>
      <c r="B46" s="18" t="inlineStr">
        <is>
          <t>明細</t>
        </is>
      </c>
      <c r="C46" s="18" t="n">
        <v>5</v>
      </c>
      <c r="D46" s="18" t="inlineStr">
        <is>
          <t>性別</t>
        </is>
      </c>
      <c r="E46" s="18" t="inlineStr">
        <is>
          <t>台帳:性別</t>
        </is>
      </c>
      <c r="F46" s="18" t="inlineStr"/>
      <c r="G46" s="18" t="inlineStr">
        <is>
          <t>文字</t>
        </is>
      </c>
      <c r="H46" s="18" t="inlineStr"/>
      <c r="I46" s="18" t="inlineStr">
        <is>
          <t>○</t>
        </is>
      </c>
      <c r="J46" s="18" t="inlineStr"/>
      <c r="K46" s="18" t="inlineStr"/>
      <c r="L46" s="28" t="inlineStr"/>
      <c r="M46" s="8">
        <f>IF(A46="","",IF(COUNTIFS($A$5:$A$305,A46,$B$5:$B$305,B46,$C$5:$C$305,C46)&gt;1,"重複",""))</f>
        <v/>
      </c>
    </row>
    <row r="47">
      <c r="A47" s="18" t="inlineStr">
        <is>
          <t>雇保取得</t>
        </is>
      </c>
      <c r="B47" s="18" t="inlineStr">
        <is>
          <t>明細</t>
        </is>
      </c>
      <c r="C47" s="18" t="n">
        <v>6</v>
      </c>
      <c r="D47" s="18" t="inlineStr">
        <is>
          <t>生年月日</t>
        </is>
      </c>
      <c r="E47" s="18" t="inlineStr">
        <is>
          <t>台帳:生年月日</t>
        </is>
      </c>
      <c r="F47" s="18" t="inlineStr"/>
      <c r="G47" s="18" t="inlineStr">
        <is>
          <t>和暦表示</t>
        </is>
      </c>
      <c r="H47" s="18" t="inlineStr"/>
      <c r="I47" s="18" t="inlineStr">
        <is>
          <t>○</t>
        </is>
      </c>
      <c r="J47" s="18" t="inlineStr"/>
      <c r="K47" s="18" t="inlineStr"/>
      <c r="L47" s="28" t="inlineStr"/>
      <c r="M47" s="8">
        <f>IF(A47="","",IF(COUNTIFS($A$5:$A$305,A47,$B$5:$B$305,B47,$C$5:$C$305,C47)&gt;1,"重複",""))</f>
        <v/>
      </c>
    </row>
    <row r="48">
      <c r="A48" s="18" t="inlineStr">
        <is>
          <t>雇保取得</t>
        </is>
      </c>
      <c r="B48" s="18" t="inlineStr">
        <is>
          <t>明細</t>
        </is>
      </c>
      <c r="C48" s="18" t="n">
        <v>7</v>
      </c>
      <c r="D48" s="18" t="inlineStr">
        <is>
          <t>事業所番号</t>
        </is>
      </c>
      <c r="E48" s="18" t="inlineStr">
        <is>
          <t>設定:雇保事業所番号</t>
        </is>
      </c>
      <c r="F48" s="18" t="inlineStr"/>
      <c r="G48" s="18" t="inlineStr">
        <is>
          <t>文字</t>
        </is>
      </c>
      <c r="H48" s="18" t="inlineStr"/>
      <c r="I48" s="18" t="inlineStr">
        <is>
          <t>○</t>
        </is>
      </c>
      <c r="J48" s="18" t="inlineStr"/>
      <c r="K48" s="18" t="inlineStr"/>
      <c r="L48" s="28" t="inlineStr"/>
      <c r="M48" s="8">
        <f>IF(A48="","",IF(COUNTIFS($A$5:$A$305,A48,$B$5:$B$305,B48,$C$5:$C$305,C48)&gt;1,"重複",""))</f>
        <v/>
      </c>
    </row>
    <row r="49">
      <c r="A49" s="18" t="inlineStr">
        <is>
          <t>雇保取得</t>
        </is>
      </c>
      <c r="B49" s="18" t="inlineStr">
        <is>
          <t>明細</t>
        </is>
      </c>
      <c r="C49" s="18" t="n">
        <v>8</v>
      </c>
      <c r="D49" s="18" t="inlineStr">
        <is>
          <t>被保険者となったことの原因</t>
        </is>
      </c>
      <c r="E49" s="18" t="inlineStr">
        <is>
          <t>台帳:取得原因</t>
        </is>
      </c>
      <c r="F49" s="18" t="inlineStr"/>
      <c r="G49" s="18" t="inlineStr">
        <is>
          <t>文字</t>
        </is>
      </c>
      <c r="H49" s="18" t="inlineStr"/>
      <c r="I49" s="18" t="inlineStr">
        <is>
          <t>○</t>
        </is>
      </c>
      <c r="J49" s="18" t="inlineStr"/>
      <c r="K49" s="18" t="inlineStr"/>
      <c r="L49" s="28" t="inlineStr"/>
      <c r="M49" s="8">
        <f>IF(A49="","",IF(COUNTIFS($A$5:$A$305,A49,$B$5:$B$305,B49,$C$5:$C$305,C49)&gt;1,"重複",""))</f>
        <v/>
      </c>
    </row>
    <row r="50">
      <c r="A50" s="18" t="inlineStr">
        <is>
          <t>雇保取得</t>
        </is>
      </c>
      <c r="B50" s="18" t="inlineStr">
        <is>
          <t>明細</t>
        </is>
      </c>
      <c r="C50" s="18" t="n">
        <v>9</v>
      </c>
      <c r="D50" s="18" t="inlineStr">
        <is>
          <t>賃金（支払の態様）</t>
        </is>
      </c>
      <c r="E50" s="18" t="inlineStr">
        <is>
          <t>台帳:賃金支払態様</t>
        </is>
      </c>
      <c r="F50" s="18" t="inlineStr"/>
      <c r="G50" s="18" t="inlineStr">
        <is>
          <t>文字</t>
        </is>
      </c>
      <c r="H50" s="18" t="inlineStr"/>
      <c r="I50" s="18" t="inlineStr">
        <is>
          <t>○</t>
        </is>
      </c>
      <c r="J50" s="18" t="inlineStr"/>
      <c r="K50" s="18" t="inlineStr"/>
      <c r="L50" s="28" t="inlineStr"/>
      <c r="M50" s="8">
        <f>IF(A50="","",IF(COUNTIFS($A$5:$A$305,A50,$B$5:$B$305,B50,$C$5:$C$305,C50)&gt;1,"重複",""))</f>
        <v/>
      </c>
    </row>
    <row r="51">
      <c r="A51" s="18" t="inlineStr">
        <is>
          <t>雇保取得</t>
        </is>
      </c>
      <c r="B51" s="18" t="inlineStr">
        <is>
          <t>明細</t>
        </is>
      </c>
      <c r="C51" s="18" t="n">
        <v>10</v>
      </c>
      <c r="D51" s="18" t="inlineStr">
        <is>
          <t>賃金（月額・千円）</t>
        </is>
      </c>
      <c r="E51" s="18" t="inlineStr">
        <is>
          <t>台帳:賃金月額</t>
        </is>
      </c>
      <c r="F51" s="18" t="inlineStr"/>
      <c r="G51" s="18" t="inlineStr">
        <is>
          <t>数値</t>
        </is>
      </c>
      <c r="H51" s="18" t="inlineStr"/>
      <c r="I51" s="18" t="inlineStr">
        <is>
          <t>○</t>
        </is>
      </c>
      <c r="J51" s="18" t="inlineStr">
        <is>
          <t>千円</t>
        </is>
      </c>
      <c r="K51" s="18" t="inlineStr"/>
      <c r="L51" s="28" t="inlineStr">
        <is>
          <t>千円未満切り捨て</t>
        </is>
      </c>
      <c r="M51" s="8">
        <f>IF(A51="","",IF(COUNTIFS($A$5:$A$305,A51,$B$5:$B$305,B51,$C$5:$C$305,C51)&gt;1,"重複",""))</f>
        <v/>
      </c>
    </row>
    <row r="52">
      <c r="A52" s="18" t="inlineStr">
        <is>
          <t>雇保取得</t>
        </is>
      </c>
      <c r="B52" s="18" t="inlineStr">
        <is>
          <t>明細</t>
        </is>
      </c>
      <c r="C52" s="18" t="n">
        <v>11</v>
      </c>
      <c r="D52" s="18" t="inlineStr">
        <is>
          <t>資格取得年月日</t>
        </is>
      </c>
      <c r="E52" s="18" t="inlineStr">
        <is>
          <t>台帳:入職日</t>
        </is>
      </c>
      <c r="F52" s="18" t="inlineStr"/>
      <c r="G52" s="18" t="inlineStr">
        <is>
          <t>和暦表示</t>
        </is>
      </c>
      <c r="H52" s="18" t="inlineStr"/>
      <c r="I52" s="18" t="inlineStr">
        <is>
          <t>○</t>
        </is>
      </c>
      <c r="J52" s="18" t="inlineStr"/>
      <c r="K52" s="18" t="inlineStr"/>
      <c r="L52" s="28" t="inlineStr"/>
      <c r="M52" s="8">
        <f>IF(A52="","",IF(COUNTIFS($A$5:$A$305,A52,$B$5:$B$305,B52,$C$5:$C$305,C52)&gt;1,"重複",""))</f>
        <v/>
      </c>
    </row>
    <row r="53">
      <c r="A53" s="18" t="inlineStr">
        <is>
          <t>雇保取得</t>
        </is>
      </c>
      <c r="B53" s="18" t="inlineStr">
        <is>
          <t>明細</t>
        </is>
      </c>
      <c r="C53" s="18" t="n">
        <v>12</v>
      </c>
      <c r="D53" s="18" t="inlineStr">
        <is>
          <t>雇用形態</t>
        </is>
      </c>
      <c r="E53" s="18" t="inlineStr">
        <is>
          <t>台帳:雇用形態</t>
        </is>
      </c>
      <c r="F53" s="18" t="inlineStr"/>
      <c r="G53" s="18" t="inlineStr">
        <is>
          <t>文字</t>
        </is>
      </c>
      <c r="H53" s="18" t="inlineStr"/>
      <c r="I53" s="18" t="inlineStr">
        <is>
          <t>○</t>
        </is>
      </c>
      <c r="J53" s="18" t="inlineStr"/>
      <c r="K53" s="18" t="inlineStr"/>
      <c r="L53" s="28" t="inlineStr"/>
      <c r="M53" s="8">
        <f>IF(A53="","",IF(COUNTIFS($A$5:$A$305,A53,$B$5:$B$305,B53,$C$5:$C$305,C53)&gt;1,"重複",""))</f>
        <v/>
      </c>
    </row>
    <row r="54">
      <c r="A54" s="18" t="inlineStr">
        <is>
          <t>雇保取得</t>
        </is>
      </c>
      <c r="B54" s="18" t="inlineStr">
        <is>
          <t>明細</t>
        </is>
      </c>
      <c r="C54" s="18" t="n">
        <v>13</v>
      </c>
      <c r="D54" s="18" t="inlineStr">
        <is>
          <t>職種</t>
        </is>
      </c>
      <c r="E54" s="18" t="inlineStr">
        <is>
          <t>台帳:職種区分</t>
        </is>
      </c>
      <c r="F54" s="18" t="inlineStr"/>
      <c r="G54" s="18" t="inlineStr">
        <is>
          <t>文字</t>
        </is>
      </c>
      <c r="H54" s="18" t="inlineStr"/>
      <c r="I54" s="18" t="inlineStr">
        <is>
          <t>○</t>
        </is>
      </c>
      <c r="J54" s="18" t="inlineStr"/>
      <c r="K54" s="18" t="inlineStr"/>
      <c r="L54" s="28" t="inlineStr"/>
      <c r="M54" s="8">
        <f>IF(A54="","",IF(COUNTIFS($A$5:$A$305,A54,$B$5:$B$305,B54,$C$5:$C$305,C54)&gt;1,"重複",""))</f>
        <v/>
      </c>
    </row>
    <row r="55">
      <c r="A55" s="18" t="inlineStr">
        <is>
          <t>雇保取得</t>
        </is>
      </c>
      <c r="B55" s="18" t="inlineStr">
        <is>
          <t>明細</t>
        </is>
      </c>
      <c r="C55" s="18" t="n">
        <v>14</v>
      </c>
      <c r="D55" s="18" t="inlineStr">
        <is>
          <t>就職経路</t>
        </is>
      </c>
      <c r="E55" s="18" t="inlineStr">
        <is>
          <t>台帳:就職経路</t>
        </is>
      </c>
      <c r="F55" s="18" t="inlineStr"/>
      <c r="G55" s="18" t="inlineStr">
        <is>
          <t>文字</t>
        </is>
      </c>
      <c r="H55" s="18" t="inlineStr"/>
      <c r="I55" s="18" t="inlineStr">
        <is>
          <t>○</t>
        </is>
      </c>
      <c r="J55" s="18" t="inlineStr"/>
      <c r="K55" s="18" t="inlineStr"/>
      <c r="L55" s="28" t="inlineStr"/>
      <c r="M55" s="8">
        <f>IF(A55="","",IF(COUNTIFS($A$5:$A$305,A55,$B$5:$B$305,B55,$C$5:$C$305,C55)&gt;1,"重複",""))</f>
        <v/>
      </c>
    </row>
    <row r="56">
      <c r="A56" s="18" t="inlineStr">
        <is>
          <t>雇保取得</t>
        </is>
      </c>
      <c r="B56" s="18" t="inlineStr">
        <is>
          <t>明細</t>
        </is>
      </c>
      <c r="C56" s="18" t="n">
        <v>15</v>
      </c>
      <c r="D56" s="18" t="inlineStr">
        <is>
          <t>1週間の所定労働時間</t>
        </is>
      </c>
      <c r="E56" s="18" t="inlineStr">
        <is>
          <t>台帳:週所定労働時間</t>
        </is>
      </c>
      <c r="F56" s="18" t="inlineStr"/>
      <c r="G56" s="18" t="inlineStr">
        <is>
          <t>時間分</t>
        </is>
      </c>
      <c r="H56" s="18" t="inlineStr"/>
      <c r="I56" s="18" t="inlineStr">
        <is>
          <t>○</t>
        </is>
      </c>
      <c r="J56" s="18" t="inlineStr"/>
      <c r="K56" s="18" t="inlineStr"/>
      <c r="L56" s="28" t="inlineStr"/>
      <c r="M56" s="8">
        <f>IF(A56="","",IF(COUNTIFS($A$5:$A$305,A56,$B$5:$B$305,B56,$C$5:$C$305,C56)&gt;1,"重複",""))</f>
        <v/>
      </c>
    </row>
    <row r="57">
      <c r="A57" s="18" t="inlineStr">
        <is>
          <t>雇保取得</t>
        </is>
      </c>
      <c r="B57" s="18" t="inlineStr">
        <is>
          <t>明細</t>
        </is>
      </c>
      <c r="C57" s="18" t="n">
        <v>16</v>
      </c>
      <c r="D57" s="18" t="inlineStr">
        <is>
          <t>契約期間の定め</t>
        </is>
      </c>
      <c r="E57" s="18" t="inlineStr">
        <is>
          <t>台帳:契約期間の定め</t>
        </is>
      </c>
      <c r="F57" s="18" t="inlineStr"/>
      <c r="G57" s="18" t="inlineStr">
        <is>
          <t>文字</t>
        </is>
      </c>
      <c r="H57" s="18" t="inlineStr"/>
      <c r="I57" s="18" t="inlineStr">
        <is>
          <t>○</t>
        </is>
      </c>
      <c r="J57" s="18" t="inlineStr"/>
      <c r="K57" s="18" t="inlineStr"/>
      <c r="L57" s="28" t="inlineStr"/>
      <c r="M57" s="8">
        <f>IF(A57="","",IF(COUNTIFS($A$5:$A$305,A57,$B$5:$B$305,B57,$C$5:$C$305,C57)&gt;1,"重複",""))</f>
        <v/>
      </c>
    </row>
    <row r="58">
      <c r="A58" s="18" t="inlineStr">
        <is>
          <t>雇保取得</t>
        </is>
      </c>
      <c r="B58" s="18" t="inlineStr">
        <is>
          <t>明細</t>
        </is>
      </c>
      <c r="C58" s="18" t="n">
        <v>17</v>
      </c>
      <c r="D58" s="18" t="inlineStr">
        <is>
          <t>契約期間（開始）</t>
        </is>
      </c>
      <c r="E58" s="18" t="inlineStr">
        <is>
          <t>台帳:契約開始日</t>
        </is>
      </c>
      <c r="F58" s="18" t="inlineStr"/>
      <c r="G58" s="18" t="inlineStr">
        <is>
          <t>和暦表示</t>
        </is>
      </c>
      <c r="H58" s="18" t="inlineStr"/>
      <c r="I58" s="18" t="inlineStr">
        <is>
          <t>○</t>
        </is>
      </c>
      <c r="J58" s="18" t="inlineStr"/>
      <c r="K58" s="18" t="inlineStr">
        <is>
          <t>契約期間の定め=有</t>
        </is>
      </c>
      <c r="L58" s="28" t="inlineStr"/>
      <c r="M58" s="8">
        <f>IF(A58="","",IF(COUNTIFS($A$5:$A$305,A58,$B$5:$B$305,B58,$C$5:$C$305,C58)&gt;1,"重複",""))</f>
        <v/>
      </c>
    </row>
    <row r="59">
      <c r="A59" s="18" t="inlineStr">
        <is>
          <t>雇保取得</t>
        </is>
      </c>
      <c r="B59" s="18" t="inlineStr">
        <is>
          <t>明細</t>
        </is>
      </c>
      <c r="C59" s="18" t="n">
        <v>18</v>
      </c>
      <c r="D59" s="18" t="inlineStr">
        <is>
          <t>契約期間（終了）</t>
        </is>
      </c>
      <c r="E59" s="18" t="inlineStr">
        <is>
          <t>台帳:契約満了日(有期のみ)</t>
        </is>
      </c>
      <c r="F59" s="18" t="inlineStr"/>
      <c r="G59" s="18" t="inlineStr">
        <is>
          <t>和暦表示</t>
        </is>
      </c>
      <c r="H59" s="18" t="inlineStr"/>
      <c r="I59" s="18" t="inlineStr">
        <is>
          <t>○</t>
        </is>
      </c>
      <c r="J59" s="18" t="inlineStr"/>
      <c r="K59" s="18" t="inlineStr">
        <is>
          <t>契約期間の定め=有</t>
        </is>
      </c>
      <c r="L59" s="28" t="inlineStr">
        <is>
          <t>入職DBの契約満了日</t>
        </is>
      </c>
      <c r="M59" s="8">
        <f>IF(A59="","",IF(COUNTIFS($A$5:$A$305,A59,$B$5:$B$305,B59,$C$5:$C$305,C59)&gt;1,"重複",""))</f>
        <v/>
      </c>
    </row>
    <row r="60">
      <c r="A60" s="18" t="inlineStr">
        <is>
          <t>雇保取得</t>
        </is>
      </c>
      <c r="B60" s="18" t="inlineStr">
        <is>
          <t>明細</t>
        </is>
      </c>
      <c r="C60" s="18" t="n">
        <v>19</v>
      </c>
      <c r="D60" s="18" t="inlineStr">
        <is>
          <t>契約更新条項の有無</t>
        </is>
      </c>
      <c r="E60" s="18" t="inlineStr">
        <is>
          <t>台帳:契約更新条項</t>
        </is>
      </c>
      <c r="F60" s="18" t="inlineStr"/>
      <c r="G60" s="18" t="inlineStr">
        <is>
          <t>文字</t>
        </is>
      </c>
      <c r="H60" s="18" t="inlineStr"/>
      <c r="I60" s="18" t="inlineStr">
        <is>
          <t>○</t>
        </is>
      </c>
      <c r="J60" s="18" t="inlineStr"/>
      <c r="K60" s="18" t="inlineStr">
        <is>
          <t>契約期間の定め=有</t>
        </is>
      </c>
      <c r="L60" s="28" t="inlineStr"/>
      <c r="M60" s="8">
        <f>IF(A60="","",IF(COUNTIFS($A$5:$A$305,A60,$B$5:$B$305,B60,$C$5:$C$305,C60)&gt;1,"重複",""))</f>
        <v/>
      </c>
    </row>
    <row r="61">
      <c r="A61" s="18" t="inlineStr">
        <is>
          <t>雇保取得</t>
        </is>
      </c>
      <c r="B61" s="18" t="inlineStr">
        <is>
          <t>明細</t>
        </is>
      </c>
      <c r="C61" s="18" t="n">
        <v>20</v>
      </c>
      <c r="D61" s="18" t="inlineStr">
        <is>
          <t>被保険者氏名（ローマ字）</t>
        </is>
      </c>
      <c r="E61" s="18" t="inlineStr">
        <is>
          <t>台帳:氏名ローマ字</t>
        </is>
      </c>
      <c r="F61" s="18" t="inlineStr"/>
      <c r="G61" s="18" t="inlineStr">
        <is>
          <t>文字</t>
        </is>
      </c>
      <c r="H61" s="18" t="inlineStr"/>
      <c r="I61" s="18" t="inlineStr">
        <is>
          <t>○</t>
        </is>
      </c>
      <c r="J61" s="18" t="inlineStr">
        <is>
          <t>半角</t>
        </is>
      </c>
      <c r="K61" s="18" t="inlineStr">
        <is>
          <t>在留資格区分&lt;&gt;</t>
        </is>
      </c>
      <c r="L61" s="28" t="inlineStr">
        <is>
          <t>外国籍のみ（在留資格区分が空でない人）</t>
        </is>
      </c>
      <c r="M61" s="8">
        <f>IF(A61="","",IF(COUNTIFS($A$5:$A$305,A61,$B$5:$B$305,B61,$C$5:$C$305,C61)&gt;1,"重複",""))</f>
        <v/>
      </c>
    </row>
    <row r="62">
      <c r="A62" s="18" t="inlineStr">
        <is>
          <t>雇保取得</t>
        </is>
      </c>
      <c r="B62" s="18" t="inlineStr">
        <is>
          <t>明細</t>
        </is>
      </c>
      <c r="C62" s="18" t="n">
        <v>21</v>
      </c>
      <c r="D62" s="18" t="inlineStr">
        <is>
          <t>国籍・地域</t>
        </is>
      </c>
      <c r="E62" s="18" t="inlineStr">
        <is>
          <t>台帳:国籍・地域</t>
        </is>
      </c>
      <c r="F62" s="18" t="inlineStr"/>
      <c r="G62" s="18" t="inlineStr">
        <is>
          <t>文字</t>
        </is>
      </c>
      <c r="H62" s="18" t="inlineStr"/>
      <c r="I62" s="18" t="inlineStr">
        <is>
          <t>○</t>
        </is>
      </c>
      <c r="J62" s="18" t="inlineStr"/>
      <c r="K62" s="18" t="inlineStr">
        <is>
          <t>在留資格区分&lt;&gt;</t>
        </is>
      </c>
      <c r="L62" s="28" t="inlineStr">
        <is>
          <t>外国籍のみ</t>
        </is>
      </c>
      <c r="M62" s="8">
        <f>IF(A62="","",IF(COUNTIFS($A$5:$A$305,A62,$B$5:$B$305,B62,$C$5:$C$305,C62)&gt;1,"重複",""))</f>
        <v/>
      </c>
    </row>
    <row r="63">
      <c r="A63" s="18" t="inlineStr">
        <is>
          <t>雇保取得</t>
        </is>
      </c>
      <c r="B63" s="18" t="inlineStr">
        <is>
          <t>明細</t>
        </is>
      </c>
      <c r="C63" s="18" t="n">
        <v>22</v>
      </c>
      <c r="D63" s="18" t="inlineStr">
        <is>
          <t>在留資格</t>
        </is>
      </c>
      <c r="E63" s="18" t="inlineStr">
        <is>
          <t>台帳:在留資格区分</t>
        </is>
      </c>
      <c r="F63" s="18" t="inlineStr"/>
      <c r="G63" s="18" t="inlineStr">
        <is>
          <t>文字</t>
        </is>
      </c>
      <c r="H63" s="18" t="inlineStr"/>
      <c r="I63" s="18" t="inlineStr">
        <is>
          <t>○</t>
        </is>
      </c>
      <c r="J63" s="18" t="inlineStr"/>
      <c r="K63" s="18" t="inlineStr">
        <is>
          <t>在留資格区分&lt;&gt;</t>
        </is>
      </c>
      <c r="L63" s="28" t="inlineStr">
        <is>
          <t>外国籍のみ</t>
        </is>
      </c>
      <c r="M63" s="8">
        <f>IF(A63="","",IF(COUNTIFS($A$5:$A$305,A63,$B$5:$B$305,B63,$C$5:$C$305,C63)&gt;1,"重複",""))</f>
        <v/>
      </c>
    </row>
    <row r="64">
      <c r="A64" s="18" t="inlineStr">
        <is>
          <t>雇保取得</t>
        </is>
      </c>
      <c r="B64" s="18" t="inlineStr">
        <is>
          <t>明細</t>
        </is>
      </c>
      <c r="C64" s="18" t="n">
        <v>23</v>
      </c>
      <c r="D64" s="18" t="inlineStr">
        <is>
          <t>在留期間（満了日）</t>
        </is>
      </c>
      <c r="E64" s="18" t="inlineStr">
        <is>
          <t>台帳:在留期限(外国籍のみ)</t>
        </is>
      </c>
      <c r="F64" s="18" t="inlineStr"/>
      <c r="G64" s="18" t="inlineStr">
        <is>
          <t>日付表示</t>
        </is>
      </c>
      <c r="H64" s="18" t="inlineStr"/>
      <c r="I64" s="18" t="inlineStr">
        <is>
          <t>○</t>
        </is>
      </c>
      <c r="J64" s="18" t="inlineStr"/>
      <c r="K64" s="18" t="inlineStr">
        <is>
          <t>在留資格区分&lt;&gt;</t>
        </is>
      </c>
      <c r="L64" s="28" t="inlineStr">
        <is>
          <t>外国籍のみ（西暦）</t>
        </is>
      </c>
      <c r="M64" s="8">
        <f>IF(A64="","",IF(COUNTIFS($A$5:$A$305,A64,$B$5:$B$305,B64,$C$5:$C$305,C64)&gt;1,"重複",""))</f>
        <v/>
      </c>
    </row>
    <row r="65">
      <c r="A65" s="18" t="inlineStr">
        <is>
          <t>雇保取得</t>
        </is>
      </c>
      <c r="B65" s="18" t="inlineStr">
        <is>
          <t>明細</t>
        </is>
      </c>
      <c r="C65" s="18" t="n">
        <v>24</v>
      </c>
      <c r="D65" s="18" t="inlineStr">
        <is>
          <t>資格外活動許可の有無</t>
        </is>
      </c>
      <c r="E65" s="18" t="inlineStr">
        <is>
          <t>台帳:資格外活動許可</t>
        </is>
      </c>
      <c r="F65" s="18" t="inlineStr"/>
      <c r="G65" s="18" t="inlineStr">
        <is>
          <t>文字</t>
        </is>
      </c>
      <c r="H65" s="18" t="inlineStr"/>
      <c r="I65" s="18" t="inlineStr">
        <is>
          <t>○</t>
        </is>
      </c>
      <c r="J65" s="18" t="inlineStr"/>
      <c r="K65" s="18" t="inlineStr">
        <is>
          <t>在留資格区分&lt;&gt;</t>
        </is>
      </c>
      <c r="L65" s="28" t="inlineStr">
        <is>
          <t>外国籍のみ</t>
        </is>
      </c>
      <c r="M65" s="8">
        <f>IF(A65="","",IF(COUNTIFS($A$5:$A$305,A65,$B$5:$B$305,B65,$C$5:$C$305,C65)&gt;1,"重複",""))</f>
        <v/>
      </c>
    </row>
    <row r="66">
      <c r="A66" s="18" t="inlineStr">
        <is>
          <t>雇保取得</t>
        </is>
      </c>
      <c r="B66" s="18" t="inlineStr">
        <is>
          <t>明細</t>
        </is>
      </c>
      <c r="C66" s="18" t="n">
        <v>25</v>
      </c>
      <c r="D66" s="18" t="inlineStr">
        <is>
          <t>派遣・請負就労区分</t>
        </is>
      </c>
      <c r="E66" s="18" t="inlineStr">
        <is>
          <t>台帳:派遣・請負就労区分</t>
        </is>
      </c>
      <c r="F66" s="18" t="inlineStr"/>
      <c r="G66" s="18" t="inlineStr">
        <is>
          <t>文字</t>
        </is>
      </c>
      <c r="H66" s="18" t="inlineStr"/>
      <c r="I66" s="18" t="inlineStr">
        <is>
          <t>○</t>
        </is>
      </c>
      <c r="J66" s="18" t="inlineStr"/>
      <c r="K66" s="18" t="inlineStr">
        <is>
          <t>在留資格区分&lt;&gt;</t>
        </is>
      </c>
      <c r="L66" s="28" t="inlineStr">
        <is>
          <t>外国籍のみ</t>
        </is>
      </c>
      <c r="M66" s="8">
        <f>IF(A66="","",IF(COUNTIFS($A$5:$A$305,A66,$B$5:$B$305,B66,$C$5:$C$305,C66)&gt;1,"重複",""))</f>
        <v/>
      </c>
    </row>
    <row r="67">
      <c r="A67" s="18" t="inlineStr">
        <is>
          <t>雇保取得</t>
        </is>
      </c>
      <c r="B67" s="18" t="inlineStr">
        <is>
          <t>明細</t>
        </is>
      </c>
      <c r="C67" s="18" t="n">
        <v>26</v>
      </c>
      <c r="D67" s="18" t="inlineStr">
        <is>
          <t>在留カード番号</t>
        </is>
      </c>
      <c r="E67" s="18" t="inlineStr">
        <is>
          <t>台帳:在留カード番号</t>
        </is>
      </c>
      <c r="F67" s="18" t="inlineStr"/>
      <c r="G67" s="18" t="inlineStr">
        <is>
          <t>文字</t>
        </is>
      </c>
      <c r="H67" s="18" t="inlineStr"/>
      <c r="I67" s="18" t="inlineStr">
        <is>
          <t>○</t>
        </is>
      </c>
      <c r="J67" s="18" t="inlineStr">
        <is>
          <t>半角</t>
        </is>
      </c>
      <c r="K67" s="18" t="inlineStr">
        <is>
          <t>在留資格区分&lt;&gt;</t>
        </is>
      </c>
      <c r="L67" s="28" t="inlineStr">
        <is>
          <t>外国籍のみ</t>
        </is>
      </c>
      <c r="M67" s="8">
        <f>IF(A67="","",IF(COUNTIFS($A$5:$A$305,A67,$B$5:$B$305,B67,$C$5:$C$305,C67)&gt;1,"重複",""))</f>
        <v/>
      </c>
    </row>
    <row r="68">
      <c r="A68" s="18" t="inlineStr">
        <is>
          <t>雇保喪失</t>
        </is>
      </c>
      <c r="B68" s="18" t="inlineStr">
        <is>
          <t>明細</t>
        </is>
      </c>
      <c r="C68" s="18" t="n">
        <v>1</v>
      </c>
      <c r="D68" s="18" t="inlineStr">
        <is>
          <t>被保険者番号</t>
        </is>
      </c>
      <c r="E68" s="18" t="inlineStr">
        <is>
          <t>台帳:雇保被保険者番号</t>
        </is>
      </c>
      <c r="F68" s="18" t="inlineStr"/>
      <c r="G68" s="18" t="inlineStr">
        <is>
          <t>文字</t>
        </is>
      </c>
      <c r="H68" s="18" t="inlineStr"/>
      <c r="I68" s="18" t="inlineStr">
        <is>
          <t>○</t>
        </is>
      </c>
      <c r="J68" s="18" t="inlineStr"/>
      <c r="K68" s="18" t="inlineStr"/>
      <c r="L68" s="28" t="inlineStr"/>
      <c r="M68" s="8">
        <f>IF(A68="","",IF(COUNTIFS($A$5:$A$305,A68,$B$5:$B$305,B68,$C$5:$C$305,C68)&gt;1,"重複",""))</f>
        <v/>
      </c>
    </row>
    <row r="69">
      <c r="A69" s="18" t="inlineStr">
        <is>
          <t>雇保喪失</t>
        </is>
      </c>
      <c r="B69" s="18" t="inlineStr">
        <is>
          <t>明細</t>
        </is>
      </c>
      <c r="C69" s="18" t="n">
        <v>2</v>
      </c>
      <c r="D69" s="18" t="inlineStr">
        <is>
          <t>事業所番号</t>
        </is>
      </c>
      <c r="E69" s="18" t="inlineStr">
        <is>
          <t>設定:雇保事業所番号</t>
        </is>
      </c>
      <c r="F69" s="18" t="inlineStr"/>
      <c r="G69" s="18" t="inlineStr">
        <is>
          <t>文字</t>
        </is>
      </c>
      <c r="H69" s="18" t="inlineStr"/>
      <c r="I69" s="18" t="inlineStr">
        <is>
          <t>○</t>
        </is>
      </c>
      <c r="J69" s="18" t="inlineStr"/>
      <c r="K69" s="18" t="inlineStr"/>
      <c r="L69" s="28" t="inlineStr"/>
      <c r="M69" s="8">
        <f>IF(A69="","",IF(COUNTIFS($A$5:$A$305,A69,$B$5:$B$305,B69,$C$5:$C$305,C69)&gt;1,"重複",""))</f>
        <v/>
      </c>
    </row>
    <row r="70">
      <c r="A70" s="18" t="inlineStr">
        <is>
          <t>雇保喪失</t>
        </is>
      </c>
      <c r="B70" s="18" t="inlineStr">
        <is>
          <t>明細</t>
        </is>
      </c>
      <c r="C70" s="18" t="n">
        <v>3</v>
      </c>
      <c r="D70" s="18" t="inlineStr">
        <is>
          <t>資格取得年月日</t>
        </is>
      </c>
      <c r="E70" s="18" t="inlineStr">
        <is>
          <t>台帳:入職日</t>
        </is>
      </c>
      <c r="F70" s="18" t="inlineStr"/>
      <c r="G70" s="18" t="inlineStr">
        <is>
          <t>和暦表示</t>
        </is>
      </c>
      <c r="H70" s="18" t="inlineStr"/>
      <c r="I70" s="18" t="inlineStr">
        <is>
          <t>○</t>
        </is>
      </c>
      <c r="J70" s="18" t="inlineStr"/>
      <c r="K70" s="18" t="inlineStr"/>
      <c r="L70" s="28" t="inlineStr">
        <is>
          <t>雇保の取得日が入職日と違う人は届出時に修正</t>
        </is>
      </c>
      <c r="M70" s="8">
        <f>IF(A70="","",IF(COUNTIFS($A$5:$A$305,A70,$B$5:$B$305,B70,$C$5:$C$305,C70)&gt;1,"重複",""))</f>
        <v/>
      </c>
    </row>
    <row r="71">
      <c r="A71" s="18" t="inlineStr">
        <is>
          <t>雇保喪失</t>
        </is>
      </c>
      <c r="B71" s="18" t="inlineStr">
        <is>
          <t>明細</t>
        </is>
      </c>
      <c r="C71" s="18" t="n">
        <v>4</v>
      </c>
      <c r="D71" s="18" t="inlineStr">
        <is>
          <t>離職等年月日</t>
        </is>
      </c>
      <c r="E71" s="18" t="inlineStr">
        <is>
          <t>台帳:退職日</t>
        </is>
      </c>
      <c r="F71" s="18" t="inlineStr"/>
      <c r="G71" s="18" t="inlineStr">
        <is>
          <t>和暦表示</t>
        </is>
      </c>
      <c r="H71" s="18" t="inlineStr"/>
      <c r="I71" s="18" t="inlineStr">
        <is>
          <t>○</t>
        </is>
      </c>
      <c r="J71" s="18" t="inlineStr"/>
      <c r="K71" s="18" t="inlineStr"/>
      <c r="L71" s="28" t="inlineStr"/>
      <c r="M71" s="8">
        <f>IF(A71="","",IF(COUNTIFS($A$5:$A$305,A71,$B$5:$B$305,B71,$C$5:$C$305,C71)&gt;1,"重複",""))</f>
        <v/>
      </c>
    </row>
    <row r="72">
      <c r="A72" s="18" t="inlineStr">
        <is>
          <t>雇保喪失</t>
        </is>
      </c>
      <c r="B72" s="18" t="inlineStr">
        <is>
          <t>明細</t>
        </is>
      </c>
      <c r="C72" s="18" t="n">
        <v>5</v>
      </c>
      <c r="D72" s="18" t="inlineStr">
        <is>
          <t>喪失原因</t>
        </is>
      </c>
      <c r="E72" s="18" t="inlineStr">
        <is>
          <t>台帳:雇保喪失原因</t>
        </is>
      </c>
      <c r="F72" s="18" t="inlineStr"/>
      <c r="G72" s="18" t="inlineStr">
        <is>
          <t>文字</t>
        </is>
      </c>
      <c r="H72" s="18" t="inlineStr"/>
      <c r="I72" s="18" t="inlineStr">
        <is>
          <t>○</t>
        </is>
      </c>
      <c r="J72" s="18" t="inlineStr"/>
      <c r="K72" s="18" t="inlineStr"/>
      <c r="L72" s="28" t="inlineStr"/>
      <c r="M72" s="8">
        <f>IF(A72="","",IF(COUNTIFS($A$5:$A$305,A72,$B$5:$B$305,B72,$C$5:$C$305,C72)&gt;1,"重複",""))</f>
        <v/>
      </c>
    </row>
    <row r="73">
      <c r="A73" s="18" t="inlineStr">
        <is>
          <t>雇保喪失</t>
        </is>
      </c>
      <c r="B73" s="18" t="inlineStr">
        <is>
          <t>明細</t>
        </is>
      </c>
      <c r="C73" s="18" t="n">
        <v>6</v>
      </c>
      <c r="D73" s="18" t="inlineStr">
        <is>
          <t>離職票交付希望</t>
        </is>
      </c>
      <c r="E73" s="18" t="inlineStr">
        <is>
          <t>台帳:離職票交付希望</t>
        </is>
      </c>
      <c r="F73" s="18" t="inlineStr"/>
      <c r="G73" s="18" t="inlineStr">
        <is>
          <t>文字</t>
        </is>
      </c>
      <c r="H73" s="18" t="inlineStr"/>
      <c r="I73" s="18" t="inlineStr">
        <is>
          <t>○</t>
        </is>
      </c>
      <c r="J73" s="18" t="inlineStr"/>
      <c r="K73" s="18" t="inlineStr"/>
      <c r="L73" s="28" t="inlineStr">
        <is>
          <t>59歳以上は希望がなくても離職証明書が必要</t>
        </is>
      </c>
      <c r="M73" s="8">
        <f>IF(A73="","",IF(COUNTIFS($A$5:$A$305,A73,$B$5:$B$305,B73,$C$5:$C$305,C73)&gt;1,"重複",""))</f>
        <v/>
      </c>
    </row>
    <row r="74">
      <c r="A74" s="18" t="inlineStr">
        <is>
          <t>雇保喪失</t>
        </is>
      </c>
      <c r="B74" s="18" t="inlineStr">
        <is>
          <t>明細</t>
        </is>
      </c>
      <c r="C74" s="18" t="n">
        <v>7</v>
      </c>
      <c r="D74" s="18" t="inlineStr">
        <is>
          <t>1週間の所定労働時間</t>
        </is>
      </c>
      <c r="E74" s="18" t="inlineStr">
        <is>
          <t>台帳:週所定労働時間</t>
        </is>
      </c>
      <c r="F74" s="18" t="inlineStr"/>
      <c r="G74" s="18" t="inlineStr">
        <is>
          <t>時間分</t>
        </is>
      </c>
      <c r="H74" s="18" t="inlineStr"/>
      <c r="I74" s="18" t="inlineStr">
        <is>
          <t>○</t>
        </is>
      </c>
      <c r="J74" s="18" t="inlineStr"/>
      <c r="K74" s="18" t="inlineStr"/>
      <c r="L74" s="28" t="inlineStr"/>
      <c r="M74" s="8">
        <f>IF(A74="","",IF(COUNTIFS($A$5:$A$305,A74,$B$5:$B$305,B74,$C$5:$C$305,C74)&gt;1,"重複",""))</f>
        <v/>
      </c>
    </row>
    <row r="75">
      <c r="A75" s="18" t="inlineStr">
        <is>
          <t>雇保喪失</t>
        </is>
      </c>
      <c r="B75" s="18" t="inlineStr">
        <is>
          <t>明細</t>
        </is>
      </c>
      <c r="C75" s="18" t="n">
        <v>8</v>
      </c>
      <c r="D75" s="18" t="inlineStr">
        <is>
          <t>補充採用予定の有無</t>
        </is>
      </c>
      <c r="E75" s="18" t="inlineStr">
        <is>
          <t>台帳:補充採用予定</t>
        </is>
      </c>
      <c r="F75" s="18" t="inlineStr"/>
      <c r="G75" s="18" t="inlineStr">
        <is>
          <t>文字</t>
        </is>
      </c>
      <c r="H75" s="18" t="inlineStr"/>
      <c r="I75" s="18" t="inlineStr"/>
      <c r="J75" s="18" t="inlineStr"/>
      <c r="K75" s="18" t="inlineStr"/>
      <c r="L75" s="28" t="inlineStr"/>
      <c r="M75" s="8">
        <f>IF(A75="","",IF(COUNTIFS($A$5:$A$305,A75,$B$5:$B$305,B75,$C$5:$C$305,C75)&gt;1,"重複",""))</f>
        <v/>
      </c>
    </row>
    <row r="76">
      <c r="A76" s="18" t="inlineStr">
        <is>
          <t>雇保喪失</t>
        </is>
      </c>
      <c r="B76" s="18" t="inlineStr">
        <is>
          <t>明細</t>
        </is>
      </c>
      <c r="C76" s="18" t="n">
        <v>9</v>
      </c>
      <c r="D76" s="18" t="inlineStr">
        <is>
          <t>被保険者氏名</t>
        </is>
      </c>
      <c r="E76" s="18" t="inlineStr">
        <is>
          <t>台帳:氏名</t>
        </is>
      </c>
      <c r="F76" s="18" t="inlineStr"/>
      <c r="G76" s="18" t="inlineStr">
        <is>
          <t>文字</t>
        </is>
      </c>
      <c r="H76" s="18" t="inlineStr"/>
      <c r="I76" s="18" t="inlineStr">
        <is>
          <t>○</t>
        </is>
      </c>
      <c r="J76" s="18" t="inlineStr"/>
      <c r="K76" s="18" t="inlineStr"/>
      <c r="L76" s="28" t="inlineStr"/>
      <c r="M76" s="8">
        <f>IF(A76="","",IF(COUNTIFS($A$5:$A$305,A76,$B$5:$B$305,B76,$C$5:$C$305,C76)&gt;1,"重複",""))</f>
        <v/>
      </c>
    </row>
    <row r="77">
      <c r="A77" s="18" t="inlineStr">
        <is>
          <t>雇保喪失</t>
        </is>
      </c>
      <c r="B77" s="18" t="inlineStr">
        <is>
          <t>明細</t>
        </is>
      </c>
      <c r="C77" s="18" t="n">
        <v>10</v>
      </c>
      <c r="D77" s="18" t="inlineStr">
        <is>
          <t>フリガナ（カタカナ）</t>
        </is>
      </c>
      <c r="E77" s="18" t="inlineStr">
        <is>
          <t>台帳:フリガナ</t>
        </is>
      </c>
      <c r="F77" s="18" t="inlineStr"/>
      <c r="G77" s="18" t="inlineStr">
        <is>
          <t>文字</t>
        </is>
      </c>
      <c r="H77" s="18" t="inlineStr"/>
      <c r="I77" s="18" t="inlineStr">
        <is>
          <t>○</t>
        </is>
      </c>
      <c r="J77" s="18" t="inlineStr">
        <is>
          <t>全角カナ</t>
        </is>
      </c>
      <c r="K77" s="18" t="inlineStr"/>
      <c r="L77" s="28" t="inlineStr"/>
      <c r="M77" s="8">
        <f>IF(A77="","",IF(COUNTIFS($A$5:$A$305,A77,$B$5:$B$305,B77,$C$5:$C$305,C77)&gt;1,"重複",""))</f>
        <v/>
      </c>
    </row>
    <row r="78">
      <c r="A78" s="18" t="inlineStr">
        <is>
          <t>雇保喪失</t>
        </is>
      </c>
      <c r="B78" s="18" t="inlineStr">
        <is>
          <t>明細</t>
        </is>
      </c>
      <c r="C78" s="18" t="n">
        <v>11</v>
      </c>
      <c r="D78" s="18" t="inlineStr">
        <is>
          <t>性別</t>
        </is>
      </c>
      <c r="E78" s="18" t="inlineStr">
        <is>
          <t>台帳:性別</t>
        </is>
      </c>
      <c r="F78" s="18" t="inlineStr"/>
      <c r="G78" s="18" t="inlineStr">
        <is>
          <t>文字</t>
        </is>
      </c>
      <c r="H78" s="18" t="inlineStr"/>
      <c r="I78" s="18" t="inlineStr">
        <is>
          <t>○</t>
        </is>
      </c>
      <c r="J78" s="18" t="inlineStr"/>
      <c r="K78" s="18" t="inlineStr"/>
      <c r="L78" s="28" t="inlineStr"/>
      <c r="M78" s="8">
        <f>IF(A78="","",IF(COUNTIFS($A$5:$A$305,A78,$B$5:$B$305,B78,$C$5:$C$305,C78)&gt;1,"重複",""))</f>
        <v/>
      </c>
    </row>
    <row r="79">
      <c r="A79" s="18" t="inlineStr">
        <is>
          <t>雇保喪失</t>
        </is>
      </c>
      <c r="B79" s="18" t="inlineStr">
        <is>
          <t>明細</t>
        </is>
      </c>
      <c r="C79" s="18" t="n">
        <v>12</v>
      </c>
      <c r="D79" s="18" t="inlineStr">
        <is>
          <t>生年月日</t>
        </is>
      </c>
      <c r="E79" s="18" t="inlineStr">
        <is>
          <t>台帳:生年月日</t>
        </is>
      </c>
      <c r="F79" s="18" t="inlineStr"/>
      <c r="G79" s="18" t="inlineStr">
        <is>
          <t>和暦表示</t>
        </is>
      </c>
      <c r="H79" s="18" t="inlineStr"/>
      <c r="I79" s="18" t="inlineStr">
        <is>
          <t>○</t>
        </is>
      </c>
      <c r="J79" s="18" t="inlineStr"/>
      <c r="K79" s="18" t="inlineStr"/>
      <c r="L79" s="28" t="inlineStr"/>
      <c r="M79" s="8">
        <f>IF(A79="","",IF(COUNTIFS($A$5:$A$305,A79,$B$5:$B$305,B79,$C$5:$C$305,C79)&gt;1,"重複",""))</f>
        <v/>
      </c>
    </row>
    <row r="80">
      <c r="A80" s="18" t="inlineStr">
        <is>
          <t>雇保喪失</t>
        </is>
      </c>
      <c r="B80" s="18" t="inlineStr">
        <is>
          <t>明細</t>
        </is>
      </c>
      <c r="C80" s="18" t="n">
        <v>13</v>
      </c>
      <c r="D80" s="18" t="inlineStr">
        <is>
          <t>被保険者の住所又は居所</t>
        </is>
      </c>
      <c r="E80" s="18" t="inlineStr">
        <is>
          <t>台帳:住所</t>
        </is>
      </c>
      <c r="F80" s="18" t="inlineStr"/>
      <c r="G80" s="18" t="inlineStr">
        <is>
          <t>文字</t>
        </is>
      </c>
      <c r="H80" s="18" t="inlineStr"/>
      <c r="I80" s="18" t="inlineStr">
        <is>
          <t>○</t>
        </is>
      </c>
      <c r="J80" s="18" t="inlineStr"/>
      <c r="K80" s="18" t="inlineStr">
        <is>
          <t>離職票交付希望=有</t>
        </is>
      </c>
      <c r="L80" s="28" t="inlineStr"/>
      <c r="M80" s="8">
        <f>IF(A80="","",IF(COUNTIFS($A$5:$A$305,A80,$B$5:$B$305,B80,$C$5:$C$305,C80)&gt;1,"重複",""))</f>
        <v/>
      </c>
    </row>
    <row r="81">
      <c r="A81" s="18" t="inlineStr">
        <is>
          <t>雇保喪失</t>
        </is>
      </c>
      <c r="B81" s="18" t="inlineStr">
        <is>
          <t>明細</t>
        </is>
      </c>
      <c r="C81" s="18" t="n">
        <v>14</v>
      </c>
      <c r="D81" s="18" t="inlineStr">
        <is>
          <t>被保険者氏名（ローマ字）</t>
        </is>
      </c>
      <c r="E81" s="18" t="inlineStr">
        <is>
          <t>台帳:氏名ローマ字</t>
        </is>
      </c>
      <c r="F81" s="18" t="inlineStr"/>
      <c r="G81" s="18" t="inlineStr">
        <is>
          <t>文字</t>
        </is>
      </c>
      <c r="H81" s="18" t="inlineStr"/>
      <c r="I81" s="18" t="inlineStr">
        <is>
          <t>○</t>
        </is>
      </c>
      <c r="J81" s="18" t="inlineStr">
        <is>
          <t>半角</t>
        </is>
      </c>
      <c r="K81" s="18" t="inlineStr">
        <is>
          <t>在留資格区分&lt;&gt;</t>
        </is>
      </c>
      <c r="L81" s="28" t="inlineStr">
        <is>
          <t>外国籍のみ</t>
        </is>
      </c>
      <c r="M81" s="8">
        <f>IF(A81="","",IF(COUNTIFS($A$5:$A$305,A81,$B$5:$B$305,B81,$C$5:$C$305,C81)&gt;1,"重複",""))</f>
        <v/>
      </c>
    </row>
    <row r="82">
      <c r="A82" s="18" t="inlineStr">
        <is>
          <t>雇保喪失</t>
        </is>
      </c>
      <c r="B82" s="18" t="inlineStr">
        <is>
          <t>明細</t>
        </is>
      </c>
      <c r="C82" s="18" t="n">
        <v>15</v>
      </c>
      <c r="D82" s="18" t="inlineStr">
        <is>
          <t>国籍・地域</t>
        </is>
      </c>
      <c r="E82" s="18" t="inlineStr">
        <is>
          <t>台帳:国籍・地域</t>
        </is>
      </c>
      <c r="F82" s="18" t="inlineStr"/>
      <c r="G82" s="18" t="inlineStr">
        <is>
          <t>文字</t>
        </is>
      </c>
      <c r="H82" s="18" t="inlineStr"/>
      <c r="I82" s="18" t="inlineStr">
        <is>
          <t>○</t>
        </is>
      </c>
      <c r="J82" s="18" t="inlineStr"/>
      <c r="K82" s="18" t="inlineStr">
        <is>
          <t>在留資格区分&lt;&gt;</t>
        </is>
      </c>
      <c r="L82" s="28" t="inlineStr">
        <is>
          <t>外国籍のみ</t>
        </is>
      </c>
      <c r="M82" s="8">
        <f>IF(A82="","",IF(COUNTIFS($A$5:$A$305,A82,$B$5:$B$305,B82,$C$5:$C$305,C82)&gt;1,"重複",""))</f>
        <v/>
      </c>
    </row>
    <row r="83">
      <c r="A83" s="18" t="inlineStr">
        <is>
          <t>雇保喪失</t>
        </is>
      </c>
      <c r="B83" s="18" t="inlineStr">
        <is>
          <t>明細</t>
        </is>
      </c>
      <c r="C83" s="18" t="n">
        <v>16</v>
      </c>
      <c r="D83" s="18" t="inlineStr">
        <is>
          <t>在留資格</t>
        </is>
      </c>
      <c r="E83" s="18" t="inlineStr">
        <is>
          <t>台帳:在留資格区分</t>
        </is>
      </c>
      <c r="F83" s="18" t="inlineStr"/>
      <c r="G83" s="18" t="inlineStr">
        <is>
          <t>文字</t>
        </is>
      </c>
      <c r="H83" s="18" t="inlineStr"/>
      <c r="I83" s="18" t="inlineStr">
        <is>
          <t>○</t>
        </is>
      </c>
      <c r="J83" s="18" t="inlineStr"/>
      <c r="K83" s="18" t="inlineStr">
        <is>
          <t>在留資格区分&lt;&gt;</t>
        </is>
      </c>
      <c r="L83" s="28" t="inlineStr">
        <is>
          <t>外国籍のみ</t>
        </is>
      </c>
      <c r="M83" s="8">
        <f>IF(A83="","",IF(COUNTIFS($A$5:$A$305,A83,$B$5:$B$305,B83,$C$5:$C$305,C83)&gt;1,"重複",""))</f>
        <v/>
      </c>
    </row>
    <row r="84">
      <c r="A84" s="18" t="inlineStr">
        <is>
          <t>雇保喪失</t>
        </is>
      </c>
      <c r="B84" s="18" t="inlineStr">
        <is>
          <t>明細</t>
        </is>
      </c>
      <c r="C84" s="18" t="n">
        <v>17</v>
      </c>
      <c r="D84" s="18" t="inlineStr">
        <is>
          <t>在留期間（満了日）</t>
        </is>
      </c>
      <c r="E84" s="18" t="inlineStr">
        <is>
          <t>台帳:在留期間満了日</t>
        </is>
      </c>
      <c r="F84" s="18" t="inlineStr"/>
      <c r="G84" s="18" t="inlineStr">
        <is>
          <t>日付表示</t>
        </is>
      </c>
      <c r="H84" s="18" t="inlineStr"/>
      <c r="I84" s="18" t="inlineStr">
        <is>
          <t>○</t>
        </is>
      </c>
      <c r="J84" s="18" t="inlineStr"/>
      <c r="K84" s="18" t="inlineStr">
        <is>
          <t>在留資格区分&lt;&gt;</t>
        </is>
      </c>
      <c r="L84" s="28" t="inlineStr">
        <is>
          <t>外国籍のみ（西暦）</t>
        </is>
      </c>
      <c r="M84" s="8">
        <f>IF(A84="","",IF(COUNTIFS($A$5:$A$305,A84,$B$5:$B$305,B84,$C$5:$C$305,C84)&gt;1,"重複",""))</f>
        <v/>
      </c>
    </row>
    <row r="85">
      <c r="A85" s="18" t="inlineStr">
        <is>
          <t>雇保喪失</t>
        </is>
      </c>
      <c r="B85" s="18" t="inlineStr">
        <is>
          <t>明細</t>
        </is>
      </c>
      <c r="C85" s="18" t="n">
        <v>18</v>
      </c>
      <c r="D85" s="18" t="inlineStr">
        <is>
          <t>派遣・請負就労区分</t>
        </is>
      </c>
      <c r="E85" s="18" t="inlineStr">
        <is>
          <t>台帳:派遣・請負就労区分</t>
        </is>
      </c>
      <c r="F85" s="18" t="inlineStr"/>
      <c r="G85" s="18" t="inlineStr">
        <is>
          <t>文字</t>
        </is>
      </c>
      <c r="H85" s="18" t="inlineStr"/>
      <c r="I85" s="18" t="inlineStr">
        <is>
          <t>○</t>
        </is>
      </c>
      <c r="J85" s="18" t="inlineStr"/>
      <c r="K85" s="18" t="inlineStr">
        <is>
          <t>在留資格区分&lt;&gt;</t>
        </is>
      </c>
      <c r="L85" s="28" t="inlineStr">
        <is>
          <t>外国籍のみ</t>
        </is>
      </c>
      <c r="M85" s="8">
        <f>IF(A85="","",IF(COUNTIFS($A$5:$A$305,A85,$B$5:$B$305,B85,$C$5:$C$305,C85)&gt;1,"重複",""))</f>
        <v/>
      </c>
    </row>
    <row r="86">
      <c r="A86" s="18" t="inlineStr">
        <is>
          <t>雇保喪失</t>
        </is>
      </c>
      <c r="B86" s="18" t="inlineStr">
        <is>
          <t>明細</t>
        </is>
      </c>
      <c r="C86" s="18" t="n">
        <v>19</v>
      </c>
      <c r="D86" s="18" t="inlineStr">
        <is>
          <t>在留カード番号</t>
        </is>
      </c>
      <c r="E86" s="18" t="inlineStr">
        <is>
          <t>台帳:在留カード番号</t>
        </is>
      </c>
      <c r="F86" s="18" t="inlineStr"/>
      <c r="G86" s="18" t="inlineStr">
        <is>
          <t>文字</t>
        </is>
      </c>
      <c r="H86" s="18" t="inlineStr"/>
      <c r="I86" s="18" t="inlineStr">
        <is>
          <t>○</t>
        </is>
      </c>
      <c r="J86" s="18" t="inlineStr">
        <is>
          <t>半角</t>
        </is>
      </c>
      <c r="K86" s="18" t="inlineStr">
        <is>
          <t>在留資格区分&lt;&gt;</t>
        </is>
      </c>
      <c r="L86" s="28" t="inlineStr">
        <is>
          <t>外国籍のみ</t>
        </is>
      </c>
      <c r="M86" s="8">
        <f>IF(A86="","",IF(COUNTIFS($A$5:$A$305,A86,$B$5:$B$305,B86,$C$5:$C$305,C86)&gt;1,"重複",""))</f>
        <v/>
      </c>
    </row>
    <row r="87">
      <c r="M87" s="8">
        <f>IF(A87="","",IF(COUNTIFS($A$5:$A$305,A87,$B$5:$B$305,B87,$C$5:$C$305,C87)&gt;1,"重複",""))</f>
        <v/>
      </c>
    </row>
    <row r="88">
      <c r="A88" s="6" t="inlineStr">
        <is>
          <t>【書き方】</t>
        </is>
      </c>
      <c r="M88" s="8">
        <f>IF(A88="","",IF(COUNTIFS($A$5:$A$305,A88,$B$5:$B$305,B88,$C$5:$C$305,C88)&gt;1,"重複",""))</f>
        <v/>
      </c>
    </row>
    <row r="89">
      <c r="A89" s="5" t="inlineStr">
        <is>
          <t>行種別：ヘッダー1, ヘッダー2 …（ファイル先頭の行）／明細（1名1行）／フッター1 …（末尾の行）。ヘッダー・フッターでは台帳の値は使えない</t>
        </is>
      </c>
      <c r="M89" s="8">
        <f>IF(A89="","",IF(COUNTIFS($A$5:$A$305,A89,$B$5:$B$305,B89,$C$5:$C$305,C89)&gt;1,"重複",""))</f>
        <v/>
      </c>
    </row>
    <row r="90">
      <c r="A90" s="5" t="inlineStr">
        <is>
          <t>取得元：台帳:列名（台帳4行目の見出し。改行・★は無視して照合）／設定:名前（設定シートの項目）／固定（固定値の列）／空欄</t>
        </is>
      </c>
      <c r="M90" s="8">
        <f>IF(A90="","",IF(COUNTIFS($A$5:$A$305,A90,$B$5:$B$305,B90,$C$5:$C$305,C90)&gt;1,"重複",""))</f>
        <v/>
      </c>
    </row>
    <row r="91">
      <c r="A91" s="5" t="inlineStr">
        <is>
          <t>書式：文字／数値（整数）／日付8（20261101）／日付表示（2026/11/01）／和暦7（元号コード+YYMMDD）／和暦6（YYMMDD）／元号コード／和暦表示（令和8年11月1日）／時間分（40時間00分）</t>
        </is>
      </c>
      <c r="M91" s="8">
        <f>IF(A91="","",IF(COUNTIFS($A$5:$A$305,A91,$B$5:$B$305,B91,$C$5:$C$305,C91)&gt;1,"重複",""))</f>
        <v/>
      </c>
    </row>
    <row r="92">
      <c r="A92" s="5" t="inlineStr">
        <is>
          <t>変換：全角カナ／半角／数字のみ／姓／名／翌日／千円／コード表:区分名。+でつなぐと左から順に適用（例：全角カナ+姓）</t>
        </is>
      </c>
      <c r="M92" s="8">
        <f>IF(A92="","",IF(COUNTIFS($A$5:$A$305,A92,$B$5:$B$305,B92,$C$5:$C$305,C92)&gt;1,"重複",""))</f>
        <v/>
      </c>
    </row>
    <row r="93">
      <c r="A93" s="5" t="inlineStr">
        <is>
          <t>条件：列名=値／列名&lt;&gt;値（値は空でもよい。例：在留資格区分&lt;&gt; は外国籍の人）。不成立なら空欄で出し、必須チェックもしない</t>
        </is>
      </c>
      <c r="M93" s="8">
        <f>IF(A93="","",IF(COUNTIFS($A$5:$A$305,A93,$B$5:$B$305,B93,$C$5:$C$305,C93)&gt;1,"重複",""))</f>
        <v/>
      </c>
    </row>
    <row r="94">
      <c r="M94" s="8">
        <f>IF(A94="","",IF(COUNTIFS($A$5:$A$305,A94,$B$5:$B$305,B94,$C$5:$C$305,C94)&gt;1,"重複",""))</f>
        <v/>
      </c>
    </row>
    <row r="95">
      <c r="M95" s="8">
        <f>IF(A95="","",IF(COUNTIFS($A$5:$A$305,A95,$B$5:$B$305,B95,$C$5:$C$305,C95)&gt;1,"重複",""))</f>
        <v/>
      </c>
    </row>
    <row r="96">
      <c r="M96" s="8">
        <f>IF(A96="","",IF(COUNTIFS($A$5:$A$305,A96,$B$5:$B$305,B96,$C$5:$C$305,C96)&gt;1,"重複",""))</f>
        <v/>
      </c>
    </row>
    <row r="97">
      <c r="M97" s="8">
        <f>IF(A97="","",IF(COUNTIFS($A$5:$A$305,A97,$B$5:$B$305,B97,$C$5:$C$305,C97)&gt;1,"重複",""))</f>
        <v/>
      </c>
    </row>
    <row r="98">
      <c r="M98" s="8">
        <f>IF(A98="","",IF(COUNTIFS($A$5:$A$305,A98,$B$5:$B$305,B98,$C$5:$C$305,C98)&gt;1,"重複",""))</f>
        <v/>
      </c>
    </row>
    <row r="99">
      <c r="M99" s="8">
        <f>IF(A99="","",IF(COUNTIFS($A$5:$A$305,A99,$B$5:$B$305,B99,$C$5:$C$305,C99)&gt;1,"重複",""))</f>
        <v/>
      </c>
    </row>
    <row r="100">
      <c r="M100" s="8">
        <f>IF(A100="","",IF(COUNTIFS($A$5:$A$305,A100,$B$5:$B$305,B100,$C$5:$C$305,C100)&gt;1,"重複",""))</f>
        <v/>
      </c>
    </row>
    <row r="101">
      <c r="M101" s="8">
        <f>IF(A101="","",IF(COUNTIFS($A$5:$A$305,A101,$B$5:$B$305,B101,$C$5:$C$305,C101)&gt;1,"重複",""))</f>
        <v/>
      </c>
    </row>
    <row r="102">
      <c r="M102" s="8">
        <f>IF(A102="","",IF(COUNTIFS($A$5:$A$305,A102,$B$5:$B$305,B102,$C$5:$C$305,C102)&gt;1,"重複",""))</f>
        <v/>
      </c>
    </row>
    <row r="103">
      <c r="M103" s="8">
        <f>IF(A103="","",IF(COUNTIFS($A$5:$A$305,A103,$B$5:$B$305,B103,$C$5:$C$305,C103)&gt;1,"重複",""))</f>
        <v/>
      </c>
    </row>
    <row r="104">
      <c r="M104" s="8">
        <f>IF(A104="","",IF(COUNTIFS($A$5:$A$305,A104,$B$5:$B$305,B104,$C$5:$C$305,C104)&gt;1,"重複",""))</f>
        <v/>
      </c>
    </row>
    <row r="105">
      <c r="M105" s="8">
        <f>IF(A105="","",IF(COUNTIFS($A$5:$A$305,A105,$B$5:$B$305,B105,$C$5:$C$305,C105)&gt;1,"重複",""))</f>
        <v/>
      </c>
    </row>
    <row r="106">
      <c r="M106" s="8">
        <f>IF(A106="","",IF(COUNTIFS($A$5:$A$305,A106,$B$5:$B$305,B106,$C$5:$C$305,C106)&gt;1,"重複",""))</f>
        <v/>
      </c>
    </row>
    <row r="107">
      <c r="M107" s="8">
        <f>IF(A107="","",IF(COUNTIFS($A$5:$A$305,A107,$B$5:$B$305,B107,$C$5:$C$305,C107)&gt;1,"重複",""))</f>
        <v/>
      </c>
    </row>
    <row r="108">
      <c r="M108" s="8">
        <f>IF(A108="","",IF(COUNTIFS($A$5:$A$305,A108,$B$5:$B$305,B108,$C$5:$C$305,C108)&gt;1,"重複",""))</f>
        <v/>
      </c>
    </row>
    <row r="109">
      <c r="M109" s="8">
        <f>IF(A109="","",IF(COUNTIFS($A$5:$A$305,A109,$B$5:$B$305,B109,$C$5:$C$305,C109)&gt;1,"重複",""))</f>
        <v/>
      </c>
    </row>
    <row r="110">
      <c r="M110" s="8">
        <f>IF(A110="","",IF(COUNTIFS($A$5:$A$305,A110,$B$5:$B$305,B110,$C$5:$C$305,C110)&gt;1,"重複",""))</f>
        <v/>
      </c>
    </row>
    <row r="111">
      <c r="M111" s="8">
        <f>IF(A111="","",IF(COUNTIFS($A$5:$A$305,A111,$B$5:$B$305,B111,$C$5:$C$305,C111)&gt;1,"重複",""))</f>
        <v/>
      </c>
    </row>
    <row r="112">
      <c r="M112" s="8">
        <f>IF(A112="","",IF(COUNTIFS($A$5:$A$305,A112,$B$5:$B$305,B112,$C$5:$C$305,C112)&gt;1,"重複",""))</f>
        <v/>
      </c>
    </row>
    <row r="113">
      <c r="M113" s="8">
        <f>IF(A113="","",IF(COUNTIFS($A$5:$A$305,A113,$B$5:$B$305,B113,$C$5:$C$305,C113)&gt;1,"重複",""))</f>
        <v/>
      </c>
    </row>
    <row r="114">
      <c r="M114" s="8">
        <f>IF(A114="","",IF(COUNTIFS($A$5:$A$305,A114,$B$5:$B$305,B114,$C$5:$C$305,C114)&gt;1,"重複",""))</f>
        <v/>
      </c>
    </row>
    <row r="115">
      <c r="M115" s="8">
        <f>IF(A115="","",IF(COUNTIFS($A$5:$A$305,A115,$B$5:$B$305,B115,$C$5:$C$305,C115)&gt;1,"重複",""))</f>
        <v/>
      </c>
    </row>
    <row r="116">
      <c r="M116" s="8">
        <f>IF(A116="","",IF(COUNTIFS($A$5:$A$305,A116,$B$5:$B$305,B116,$C$5:$C$305,C116)&gt;1,"重複",""))</f>
        <v/>
      </c>
    </row>
    <row r="117">
      <c r="M117" s="8">
        <f>IF(A117="","",IF(COUNTIFS($A$5:$A$305,A117,$B$5:$B$305,B117,$C$5:$C$305,C117)&gt;1,"重複",""))</f>
        <v/>
      </c>
    </row>
    <row r="118">
      <c r="M118" s="8">
        <f>IF(A118="","",IF(COUNTIFS($A$5:$A$305,A118,$B$5:$B$305,B118,$C$5:$C$305,C118)&gt;1,"重複",""))</f>
        <v/>
      </c>
    </row>
    <row r="119">
      <c r="M119" s="8">
        <f>IF(A119="","",IF(COUNTIFS($A$5:$A$305,A119,$B$5:$B$305,B119,$C$5:$C$305,C119)&gt;1,"重複",""))</f>
        <v/>
      </c>
    </row>
    <row r="120">
      <c r="M120" s="8">
        <f>IF(A120="","",IF(COUNTIFS($A$5:$A$305,A120,$B$5:$B$305,B120,$C$5:$C$305,C120)&gt;1,"重複",""))</f>
        <v/>
      </c>
    </row>
    <row r="121">
      <c r="M121" s="8">
        <f>IF(A121="","",IF(COUNTIFS($A$5:$A$305,A121,$B$5:$B$305,B121,$C$5:$C$305,C121)&gt;1,"重複",""))</f>
        <v/>
      </c>
    </row>
    <row r="122">
      <c r="M122" s="8">
        <f>IF(A122="","",IF(COUNTIFS($A$5:$A$305,A122,$B$5:$B$305,B122,$C$5:$C$305,C122)&gt;1,"重複",""))</f>
        <v/>
      </c>
    </row>
    <row r="123">
      <c r="M123" s="8">
        <f>IF(A123="","",IF(COUNTIFS($A$5:$A$305,A123,$B$5:$B$305,B123,$C$5:$C$305,C123)&gt;1,"重複",""))</f>
        <v/>
      </c>
    </row>
    <row r="124">
      <c r="M124" s="8">
        <f>IF(A124="","",IF(COUNTIFS($A$5:$A$305,A124,$B$5:$B$305,B124,$C$5:$C$305,C124)&gt;1,"重複",""))</f>
        <v/>
      </c>
    </row>
    <row r="125">
      <c r="M125" s="8">
        <f>IF(A125="","",IF(COUNTIFS($A$5:$A$305,A125,$B$5:$B$305,B125,$C$5:$C$305,C125)&gt;1,"重複",""))</f>
        <v/>
      </c>
    </row>
    <row r="126">
      <c r="M126" s="8">
        <f>IF(A126="","",IF(COUNTIFS($A$5:$A$305,A126,$B$5:$B$305,B126,$C$5:$C$305,C126)&gt;1,"重複",""))</f>
        <v/>
      </c>
    </row>
    <row r="127">
      <c r="M127" s="8">
        <f>IF(A127="","",IF(COUNTIFS($A$5:$A$305,A127,$B$5:$B$305,B127,$C$5:$C$305,C127)&gt;1,"重複",""))</f>
        <v/>
      </c>
    </row>
    <row r="128">
      <c r="M128" s="8">
        <f>IF(A128="","",IF(COUNTIFS($A$5:$A$305,A128,$B$5:$B$305,B128,$C$5:$C$305,C128)&gt;1,"重複",""))</f>
        <v/>
      </c>
    </row>
    <row r="129">
      <c r="M129" s="8">
        <f>IF(A129="","",IF(COUNTIFS($A$5:$A$305,A129,$B$5:$B$305,B129,$C$5:$C$305,C129)&gt;1,"重複",""))</f>
        <v/>
      </c>
    </row>
    <row r="130">
      <c r="M130" s="8">
        <f>IF(A130="","",IF(COUNTIFS($A$5:$A$305,A130,$B$5:$B$305,B130,$C$5:$C$305,C130)&gt;1,"重複",""))</f>
        <v/>
      </c>
    </row>
    <row r="131">
      <c r="M131" s="8">
        <f>IF(A131="","",IF(COUNTIFS($A$5:$A$305,A131,$B$5:$B$305,B131,$C$5:$C$305,C131)&gt;1,"重複",""))</f>
        <v/>
      </c>
    </row>
    <row r="132">
      <c r="M132" s="8">
        <f>IF(A132="","",IF(COUNTIFS($A$5:$A$305,A132,$B$5:$B$305,B132,$C$5:$C$305,C132)&gt;1,"重複",""))</f>
        <v/>
      </c>
    </row>
    <row r="133">
      <c r="M133" s="8">
        <f>IF(A133="","",IF(COUNTIFS($A$5:$A$305,A133,$B$5:$B$305,B133,$C$5:$C$305,C133)&gt;1,"重複",""))</f>
        <v/>
      </c>
    </row>
    <row r="134">
      <c r="M134" s="8">
        <f>IF(A134="","",IF(COUNTIFS($A$5:$A$305,A134,$B$5:$B$305,B134,$C$5:$C$305,C134)&gt;1,"重複",""))</f>
        <v/>
      </c>
    </row>
    <row r="135">
      <c r="M135" s="8">
        <f>IF(A135="","",IF(COUNTIFS($A$5:$A$305,A135,$B$5:$B$305,B135,$C$5:$C$305,C135)&gt;1,"重複",""))</f>
        <v/>
      </c>
    </row>
    <row r="136">
      <c r="M136" s="8">
        <f>IF(A136="","",IF(COUNTIFS($A$5:$A$305,A136,$B$5:$B$305,B136,$C$5:$C$305,C136)&gt;1,"重複",""))</f>
        <v/>
      </c>
    </row>
    <row r="137">
      <c r="M137" s="8">
        <f>IF(A137="","",IF(COUNTIFS($A$5:$A$305,A137,$B$5:$B$305,B137,$C$5:$C$305,C137)&gt;1,"重複",""))</f>
        <v/>
      </c>
    </row>
    <row r="138">
      <c r="M138" s="8">
        <f>IF(A138="","",IF(COUNTIFS($A$5:$A$305,A138,$B$5:$B$305,B138,$C$5:$C$305,C138)&gt;1,"重複",""))</f>
        <v/>
      </c>
    </row>
    <row r="139">
      <c r="M139" s="8">
        <f>IF(A139="","",IF(COUNTIFS($A$5:$A$305,A139,$B$5:$B$305,B139,$C$5:$C$305,C139)&gt;1,"重複",""))</f>
        <v/>
      </c>
    </row>
    <row r="140">
      <c r="M140" s="8">
        <f>IF(A140="","",IF(COUNTIFS($A$5:$A$305,A140,$B$5:$B$305,B140,$C$5:$C$305,C140)&gt;1,"重複",""))</f>
        <v/>
      </c>
    </row>
    <row r="141">
      <c r="M141" s="8">
        <f>IF(A141="","",IF(COUNTIFS($A$5:$A$305,A141,$B$5:$B$305,B141,$C$5:$C$305,C141)&gt;1,"重複",""))</f>
        <v/>
      </c>
    </row>
    <row r="142">
      <c r="M142" s="8">
        <f>IF(A142="","",IF(COUNTIFS($A$5:$A$305,A142,$B$5:$B$305,B142,$C$5:$C$305,C142)&gt;1,"重複",""))</f>
        <v/>
      </c>
    </row>
    <row r="143">
      <c r="M143" s="8">
        <f>IF(A143="","",IF(COUNTIFS($A$5:$A$305,A143,$B$5:$B$305,B143,$C$5:$C$305,C143)&gt;1,"重複",""))</f>
        <v/>
      </c>
    </row>
    <row r="144">
      <c r="M144" s="8">
        <f>IF(A144="","",IF(COUNTIFS($A$5:$A$305,A144,$B$5:$B$305,B144,$C$5:$C$305,C144)&gt;1,"重複",""))</f>
        <v/>
      </c>
    </row>
    <row r="145">
      <c r="M145" s="8">
        <f>IF(A145="","",IF(COUNTIFS($A$5:$A$305,A145,$B$5:$B$305,B145,$C$5:$C$305,C145)&gt;1,"重複",""))</f>
        <v/>
      </c>
    </row>
    <row r="146">
      <c r="M146" s="8">
        <f>IF(A146="","",IF(COUNTIFS($A$5:$A$305,A146,$B$5:$B$305,B146,$C$5:$C$305,C146)&gt;1,"重複",""))</f>
        <v/>
      </c>
    </row>
    <row r="147">
      <c r="M147" s="8">
        <f>IF(A147="","",IF(COUNTIFS($A$5:$A$305,A147,$B$5:$B$305,B147,$C$5:$C$305,C147)&gt;1,"重複",""))</f>
        <v/>
      </c>
    </row>
    <row r="148">
      <c r="M148" s="8">
        <f>IF(A148="","",IF(COUNTIFS($A$5:$A$305,A148,$B$5:$B$305,B148,$C$5:$C$305,C148)&gt;1,"重複",""))</f>
        <v/>
      </c>
    </row>
    <row r="149">
      <c r="M149" s="8">
        <f>IF(A149="","",IF(COUNTIFS($A$5:$A$305,A149,$B$5:$B$305,B149,$C$5:$C$305,C149)&gt;1,"重複",""))</f>
        <v/>
      </c>
    </row>
    <row r="150">
      <c r="M150" s="8">
        <f>IF(A150="","",IF(COUNTIFS($A$5:$A$305,A150,$B$5:$B$305,B150,$C$5:$C$305,C150)&gt;1,"重複",""))</f>
        <v/>
      </c>
    </row>
    <row r="151">
      <c r="M151" s="8">
        <f>IF(A151="","",IF(COUNTIFS($A$5:$A$305,A151,$B$5:$B$305,B151,$C$5:$C$305,C151)&gt;1,"重複",""))</f>
        <v/>
      </c>
    </row>
    <row r="152">
      <c r="M152" s="8">
        <f>IF(A152="","",IF(COUNTIFS($A$5:$A$305,A152,$B$5:$B$305,B152,$C$5:$C$305,C152)&gt;1,"重複",""))</f>
        <v/>
      </c>
    </row>
    <row r="153">
      <c r="M153" s="8">
        <f>IF(A153="","",IF(COUNTIFS($A$5:$A$305,A153,$B$5:$B$305,B153,$C$5:$C$305,C153)&gt;1,"重複",""))</f>
        <v/>
      </c>
    </row>
    <row r="154">
      <c r="M154" s="8">
        <f>IF(A154="","",IF(COUNTIFS($A$5:$A$305,A154,$B$5:$B$305,B154,$C$5:$C$305,C154)&gt;1,"重複",""))</f>
        <v/>
      </c>
    </row>
    <row r="155">
      <c r="M155" s="8">
        <f>IF(A155="","",IF(COUNTIFS($A$5:$A$305,A155,$B$5:$B$305,B155,$C$5:$C$305,C155)&gt;1,"重複",""))</f>
        <v/>
      </c>
    </row>
    <row r="156">
      <c r="M156" s="8">
        <f>IF(A156="","",IF(COUNTIFS($A$5:$A$305,A156,$B$5:$B$305,B156,$C$5:$C$305,C156)&gt;1,"重複",""))</f>
        <v/>
      </c>
    </row>
    <row r="157">
      <c r="M157" s="8">
        <f>IF(A157="","",IF(COUNTIFS($A$5:$A$305,A157,$B$5:$B$305,B157,$C$5:$C$305,C157)&gt;1,"重複",""))</f>
        <v/>
      </c>
    </row>
    <row r="158">
      <c r="M158" s="8">
        <f>IF(A158="","",IF(COUNTIFS($A$5:$A$305,A158,$B$5:$B$305,B158,$C$5:$C$305,C158)&gt;1,"重複",""))</f>
        <v/>
      </c>
    </row>
    <row r="159">
      <c r="M159" s="8">
        <f>IF(A159="","",IF(COUNTIFS($A$5:$A$305,A159,$B$5:$B$305,B159,$C$5:$C$305,C159)&gt;1,"重複",""))</f>
        <v/>
      </c>
    </row>
    <row r="160">
      <c r="M160" s="8">
        <f>IF(A160="","",IF(COUNTIFS($A$5:$A$305,A160,$B$5:$B$305,B160,$C$5:$C$305,C160)&gt;1,"重複",""))</f>
        <v/>
      </c>
    </row>
    <row r="161">
      <c r="M161" s="8">
        <f>IF(A161="","",IF(COUNTIFS($A$5:$A$305,A161,$B$5:$B$305,B161,$C$5:$C$305,C161)&gt;1,"重複",""))</f>
        <v/>
      </c>
    </row>
    <row r="162">
      <c r="M162" s="8">
        <f>IF(A162="","",IF(COUNTIFS($A$5:$A$305,A162,$B$5:$B$305,B162,$C$5:$C$305,C162)&gt;1,"重複",""))</f>
        <v/>
      </c>
    </row>
    <row r="163">
      <c r="M163" s="8">
        <f>IF(A163="","",IF(COUNTIFS($A$5:$A$305,A163,$B$5:$B$305,B163,$C$5:$C$305,C163)&gt;1,"重複",""))</f>
        <v/>
      </c>
    </row>
    <row r="164">
      <c r="M164" s="8">
        <f>IF(A164="","",IF(COUNTIFS($A$5:$A$305,A164,$B$5:$B$305,B164,$C$5:$C$305,C164)&gt;1,"重複",""))</f>
        <v/>
      </c>
    </row>
    <row r="165">
      <c r="M165" s="8">
        <f>IF(A165="","",IF(COUNTIFS($A$5:$A$305,A165,$B$5:$B$305,B165,$C$5:$C$305,C165)&gt;1,"重複",""))</f>
        <v/>
      </c>
    </row>
    <row r="166">
      <c r="M166" s="8">
        <f>IF(A166="","",IF(COUNTIFS($A$5:$A$305,A166,$B$5:$B$305,B166,$C$5:$C$305,C166)&gt;1,"重複",""))</f>
        <v/>
      </c>
    </row>
    <row r="167">
      <c r="M167" s="8">
        <f>IF(A167="","",IF(COUNTIFS($A$5:$A$305,A167,$B$5:$B$305,B167,$C$5:$C$305,C167)&gt;1,"重複",""))</f>
        <v/>
      </c>
    </row>
    <row r="168">
      <c r="M168" s="8">
        <f>IF(A168="","",IF(COUNTIFS($A$5:$A$305,A168,$B$5:$B$305,B168,$C$5:$C$305,C168)&gt;1,"重複",""))</f>
        <v/>
      </c>
    </row>
    <row r="169">
      <c r="M169" s="8">
        <f>IF(A169="","",IF(COUNTIFS($A$5:$A$305,A169,$B$5:$B$305,B169,$C$5:$C$305,C169)&gt;1,"重複",""))</f>
        <v/>
      </c>
    </row>
    <row r="170">
      <c r="M170" s="8">
        <f>IF(A170="","",IF(COUNTIFS($A$5:$A$305,A170,$B$5:$B$305,B170,$C$5:$C$305,C170)&gt;1,"重複",""))</f>
        <v/>
      </c>
    </row>
    <row r="171">
      <c r="M171" s="8">
        <f>IF(A171="","",IF(COUNTIFS($A$5:$A$305,A171,$B$5:$B$305,B171,$C$5:$C$305,C171)&gt;1,"重複",""))</f>
        <v/>
      </c>
    </row>
    <row r="172">
      <c r="M172" s="8">
        <f>IF(A172="","",IF(COUNTIFS($A$5:$A$305,A172,$B$5:$B$305,B172,$C$5:$C$305,C172)&gt;1,"重複",""))</f>
        <v/>
      </c>
    </row>
    <row r="173">
      <c r="M173" s="8">
        <f>IF(A173="","",IF(COUNTIFS($A$5:$A$305,A173,$B$5:$B$305,B173,$C$5:$C$305,C173)&gt;1,"重複",""))</f>
        <v/>
      </c>
    </row>
    <row r="174">
      <c r="M174" s="8">
        <f>IF(A174="","",IF(COUNTIFS($A$5:$A$305,A174,$B$5:$B$305,B174,$C$5:$C$305,C174)&gt;1,"重複",""))</f>
        <v/>
      </c>
    </row>
    <row r="175">
      <c r="M175" s="8">
        <f>IF(A175="","",IF(COUNTIFS($A$5:$A$305,A175,$B$5:$B$305,B175,$C$5:$C$305,C175)&gt;1,"重複",""))</f>
        <v/>
      </c>
    </row>
    <row r="176">
      <c r="M176" s="8">
        <f>IF(A176="","",IF(COUNTIFS($A$5:$A$305,A176,$B$5:$B$305,B176,$C$5:$C$305,C176)&gt;1,"重複",""))</f>
        <v/>
      </c>
    </row>
    <row r="177">
      <c r="M177" s="8">
        <f>IF(A177="","",IF(COUNTIFS($A$5:$A$305,A177,$B$5:$B$305,B177,$C$5:$C$305,C177)&gt;1,"重複",""))</f>
        <v/>
      </c>
    </row>
    <row r="178">
      <c r="M178" s="8">
        <f>IF(A178="","",IF(COUNTIFS($A$5:$A$305,A178,$B$5:$B$305,B178,$C$5:$C$305,C178)&gt;1,"重複",""))</f>
        <v/>
      </c>
    </row>
    <row r="179">
      <c r="M179" s="8">
        <f>IF(A179="","",IF(COUNTIFS($A$5:$A$305,A179,$B$5:$B$305,B179,$C$5:$C$305,C179)&gt;1,"重複",""))</f>
        <v/>
      </c>
    </row>
    <row r="180">
      <c r="M180" s="8">
        <f>IF(A180="","",IF(COUNTIFS($A$5:$A$305,A180,$B$5:$B$305,B180,$C$5:$C$305,C180)&gt;1,"重複",""))</f>
        <v/>
      </c>
    </row>
    <row r="181">
      <c r="M181" s="8">
        <f>IF(A181="","",IF(COUNTIFS($A$5:$A$305,A181,$B$5:$B$305,B181,$C$5:$C$305,C181)&gt;1,"重複",""))</f>
        <v/>
      </c>
    </row>
    <row r="182">
      <c r="M182" s="8">
        <f>IF(A182="","",IF(COUNTIFS($A$5:$A$305,A182,$B$5:$B$305,B182,$C$5:$C$305,C182)&gt;1,"重複",""))</f>
        <v/>
      </c>
    </row>
    <row r="183">
      <c r="M183" s="8">
        <f>IF(A183="","",IF(COUNTIFS($A$5:$A$305,A183,$B$5:$B$305,B183,$C$5:$C$305,C183)&gt;1,"重複",""))</f>
        <v/>
      </c>
    </row>
    <row r="184">
      <c r="M184" s="8">
        <f>IF(A184="","",IF(COUNTIFS($A$5:$A$305,A184,$B$5:$B$305,B184,$C$5:$C$305,C184)&gt;1,"重複",""))</f>
        <v/>
      </c>
    </row>
    <row r="185">
      <c r="M185" s="8">
        <f>IF(A185="","",IF(COUNTIFS($A$5:$A$305,A185,$B$5:$B$305,B185,$C$5:$C$305,C185)&gt;1,"重複",""))</f>
        <v/>
      </c>
    </row>
    <row r="186">
      <c r="M186" s="8">
        <f>IF(A186="","",IF(COUNTIFS($A$5:$A$305,A186,$B$5:$B$305,B186,$C$5:$C$305,C186)&gt;1,"重複",""))</f>
        <v/>
      </c>
    </row>
    <row r="187">
      <c r="M187" s="8">
        <f>IF(A187="","",IF(COUNTIFS($A$5:$A$305,A187,$B$5:$B$305,B187,$C$5:$C$305,C187)&gt;1,"重複",""))</f>
        <v/>
      </c>
    </row>
    <row r="188">
      <c r="M188" s="8">
        <f>IF(A188="","",IF(COUNTIFS($A$5:$A$305,A188,$B$5:$B$305,B188,$C$5:$C$305,C188)&gt;1,"重複",""))</f>
        <v/>
      </c>
    </row>
    <row r="189">
      <c r="M189" s="8">
        <f>IF(A189="","",IF(COUNTIFS($A$5:$A$305,A189,$B$5:$B$305,B189,$C$5:$C$305,C189)&gt;1,"重複",""))</f>
        <v/>
      </c>
    </row>
    <row r="190">
      <c r="M190" s="8">
        <f>IF(A190="","",IF(COUNTIFS($A$5:$A$305,A190,$B$5:$B$305,B190,$C$5:$C$305,C190)&gt;1,"重複",""))</f>
        <v/>
      </c>
    </row>
    <row r="191">
      <c r="M191" s="8">
        <f>IF(A191="","",IF(COUNTIFS($A$5:$A$305,A191,$B$5:$B$305,B191,$C$5:$C$305,C191)&gt;1,"重複",""))</f>
        <v/>
      </c>
    </row>
    <row r="192">
      <c r="M192" s="8">
        <f>IF(A192="","",IF(COUNTIFS($A$5:$A$305,A192,$B$5:$B$305,B192,$C$5:$C$305,C192)&gt;1,"重複",""))</f>
        <v/>
      </c>
    </row>
    <row r="193">
      <c r="M193" s="8">
        <f>IF(A193="","",IF(COUNTIFS($A$5:$A$305,A193,$B$5:$B$305,B193,$C$5:$C$305,C193)&gt;1,"重複",""))</f>
        <v/>
      </c>
    </row>
    <row r="194">
      <c r="M194" s="8">
        <f>IF(A194="","",IF(COUNTIFS($A$5:$A$305,A194,$B$5:$B$305,B194,$C$5:$C$305,C194)&gt;1,"重複",""))</f>
        <v/>
      </c>
    </row>
    <row r="195">
      <c r="M195" s="8">
        <f>IF(A195="","",IF(COUNTIFS($A$5:$A$305,A195,$B$5:$B$305,B195,$C$5:$C$305,C195)&gt;1,"重複",""))</f>
        <v/>
      </c>
    </row>
    <row r="196">
      <c r="M196" s="8">
        <f>IF(A196="","",IF(COUNTIFS($A$5:$A$305,A196,$B$5:$B$305,B196,$C$5:$C$305,C196)&gt;1,"重複",""))</f>
        <v/>
      </c>
    </row>
    <row r="197">
      <c r="M197" s="8">
        <f>IF(A197="","",IF(COUNTIFS($A$5:$A$305,A197,$B$5:$B$305,B197,$C$5:$C$305,C197)&gt;1,"重複",""))</f>
        <v/>
      </c>
    </row>
    <row r="198">
      <c r="M198" s="8">
        <f>IF(A198="","",IF(COUNTIFS($A$5:$A$305,A198,$B$5:$B$305,B198,$C$5:$C$305,C198)&gt;1,"重複",""))</f>
        <v/>
      </c>
    </row>
    <row r="199">
      <c r="M199" s="8">
        <f>IF(A199="","",IF(COUNTIFS($A$5:$A$305,A199,$B$5:$B$305,B199,$C$5:$C$305,C199)&gt;1,"重複",""))</f>
        <v/>
      </c>
    </row>
    <row r="200">
      <c r="M200" s="8">
        <f>IF(A200="","",IF(COUNTIFS($A$5:$A$305,A200,$B$5:$B$305,B200,$C$5:$C$305,C200)&gt;1,"重複",""))</f>
        <v/>
      </c>
    </row>
    <row r="201">
      <c r="M201" s="8">
        <f>IF(A201="","",IF(COUNTIFS($A$5:$A$305,A201,$B$5:$B$305,B201,$C$5:$C$305,C201)&gt;1,"重複",""))</f>
        <v/>
      </c>
    </row>
    <row r="202">
      <c r="M202" s="8">
        <f>IF(A202="","",IF(COUNTIFS($A$5:$A$305,A202,$B$5:$B$305,B202,$C$5:$C$305,C202)&gt;1,"重複",""))</f>
        <v/>
      </c>
    </row>
    <row r="203">
      <c r="M203" s="8">
        <f>IF(A203="","",IF(COUNTIFS($A$5:$A$305,A203,$B$5:$B$305,B203,$C$5:$C$305,C203)&gt;1,"重複",""))</f>
        <v/>
      </c>
    </row>
    <row r="204">
      <c r="M204" s="8">
        <f>IF(A204="","",IF(COUNTIFS($A$5:$A$305,A204,$B$5:$B$305,B204,$C$5:$C$305,C204)&gt;1,"重複",""))</f>
        <v/>
      </c>
    </row>
    <row r="205">
      <c r="M205" s="8">
        <f>IF(A205="","",IF(COUNTIFS($A$5:$A$305,A205,$B$5:$B$305,B205,$C$5:$C$305,C205)&gt;1,"重複",""))</f>
        <v/>
      </c>
    </row>
    <row r="206">
      <c r="M206" s="8">
        <f>IF(A206="","",IF(COUNTIFS($A$5:$A$305,A206,$B$5:$B$305,B206,$C$5:$C$305,C206)&gt;1,"重複",""))</f>
        <v/>
      </c>
    </row>
    <row r="207">
      <c r="M207" s="8">
        <f>IF(A207="","",IF(COUNTIFS($A$5:$A$305,A207,$B$5:$B$305,B207,$C$5:$C$305,C207)&gt;1,"重複",""))</f>
        <v/>
      </c>
    </row>
    <row r="208">
      <c r="M208" s="8">
        <f>IF(A208="","",IF(COUNTIFS($A$5:$A$305,A208,$B$5:$B$305,B208,$C$5:$C$305,C208)&gt;1,"重複",""))</f>
        <v/>
      </c>
    </row>
    <row r="209">
      <c r="M209" s="8">
        <f>IF(A209="","",IF(COUNTIFS($A$5:$A$305,A209,$B$5:$B$305,B209,$C$5:$C$305,C209)&gt;1,"重複",""))</f>
        <v/>
      </c>
    </row>
    <row r="210">
      <c r="M210" s="8">
        <f>IF(A210="","",IF(COUNTIFS($A$5:$A$305,A210,$B$5:$B$305,B210,$C$5:$C$305,C210)&gt;1,"重複",""))</f>
        <v/>
      </c>
    </row>
    <row r="211">
      <c r="M211" s="8">
        <f>IF(A211="","",IF(COUNTIFS($A$5:$A$305,A211,$B$5:$B$305,B211,$C$5:$C$305,C211)&gt;1,"重複",""))</f>
        <v/>
      </c>
    </row>
    <row r="212">
      <c r="M212" s="8">
        <f>IF(A212="","",IF(COUNTIFS($A$5:$A$305,A212,$B$5:$B$305,B212,$C$5:$C$305,C212)&gt;1,"重複",""))</f>
        <v/>
      </c>
    </row>
    <row r="213">
      <c r="M213" s="8">
        <f>IF(A213="","",IF(COUNTIFS($A$5:$A$305,A213,$B$5:$B$305,B213,$C$5:$C$305,C213)&gt;1,"重複",""))</f>
        <v/>
      </c>
    </row>
    <row r="214">
      <c r="M214" s="8">
        <f>IF(A214="","",IF(COUNTIFS($A$5:$A$305,A214,$B$5:$B$305,B214,$C$5:$C$305,C214)&gt;1,"重複",""))</f>
        <v/>
      </c>
    </row>
    <row r="215">
      <c r="M215" s="8">
        <f>IF(A215="","",IF(COUNTIFS($A$5:$A$305,A215,$B$5:$B$305,B215,$C$5:$C$305,C215)&gt;1,"重複",""))</f>
        <v/>
      </c>
    </row>
    <row r="216">
      <c r="M216" s="8">
        <f>IF(A216="","",IF(COUNTIFS($A$5:$A$305,A216,$B$5:$B$305,B216,$C$5:$C$305,C216)&gt;1,"重複",""))</f>
        <v/>
      </c>
    </row>
    <row r="217">
      <c r="M217" s="8">
        <f>IF(A217="","",IF(COUNTIFS($A$5:$A$305,A217,$B$5:$B$305,B217,$C$5:$C$305,C217)&gt;1,"重複",""))</f>
        <v/>
      </c>
    </row>
    <row r="218">
      <c r="M218" s="8">
        <f>IF(A218="","",IF(COUNTIFS($A$5:$A$305,A218,$B$5:$B$305,B218,$C$5:$C$305,C218)&gt;1,"重複",""))</f>
        <v/>
      </c>
    </row>
    <row r="219">
      <c r="M219" s="8">
        <f>IF(A219="","",IF(COUNTIFS($A$5:$A$305,A219,$B$5:$B$305,B219,$C$5:$C$305,C219)&gt;1,"重複",""))</f>
        <v/>
      </c>
    </row>
    <row r="220">
      <c r="M220" s="8">
        <f>IF(A220="","",IF(COUNTIFS($A$5:$A$305,A220,$B$5:$B$305,B220,$C$5:$C$305,C220)&gt;1,"重複",""))</f>
        <v/>
      </c>
    </row>
    <row r="221">
      <c r="M221" s="8">
        <f>IF(A221="","",IF(COUNTIFS($A$5:$A$305,A221,$B$5:$B$305,B221,$C$5:$C$305,C221)&gt;1,"重複",""))</f>
        <v/>
      </c>
    </row>
    <row r="222">
      <c r="M222" s="8">
        <f>IF(A222="","",IF(COUNTIFS($A$5:$A$305,A222,$B$5:$B$305,B222,$C$5:$C$305,C222)&gt;1,"重複",""))</f>
        <v/>
      </c>
    </row>
    <row r="223">
      <c r="M223" s="8">
        <f>IF(A223="","",IF(COUNTIFS($A$5:$A$305,A223,$B$5:$B$305,B223,$C$5:$C$305,C223)&gt;1,"重複",""))</f>
        <v/>
      </c>
    </row>
    <row r="224">
      <c r="M224" s="8">
        <f>IF(A224="","",IF(COUNTIFS($A$5:$A$305,A224,$B$5:$B$305,B224,$C$5:$C$305,C224)&gt;1,"重複",""))</f>
        <v/>
      </c>
    </row>
    <row r="225">
      <c r="M225" s="8">
        <f>IF(A225="","",IF(COUNTIFS($A$5:$A$305,A225,$B$5:$B$305,B225,$C$5:$C$305,C225)&gt;1,"重複",""))</f>
        <v/>
      </c>
    </row>
    <row r="226">
      <c r="M226" s="8">
        <f>IF(A226="","",IF(COUNTIFS($A$5:$A$305,A226,$B$5:$B$305,B226,$C$5:$C$305,C226)&gt;1,"重複",""))</f>
        <v/>
      </c>
    </row>
    <row r="227">
      <c r="M227" s="8">
        <f>IF(A227="","",IF(COUNTIFS($A$5:$A$305,A227,$B$5:$B$305,B227,$C$5:$C$305,C227)&gt;1,"重複",""))</f>
        <v/>
      </c>
    </row>
    <row r="228">
      <c r="M228" s="8">
        <f>IF(A228="","",IF(COUNTIFS($A$5:$A$305,A228,$B$5:$B$305,B228,$C$5:$C$305,C228)&gt;1,"重複",""))</f>
        <v/>
      </c>
    </row>
    <row r="229">
      <c r="M229" s="8">
        <f>IF(A229="","",IF(COUNTIFS($A$5:$A$305,A229,$B$5:$B$305,B229,$C$5:$C$305,C229)&gt;1,"重複",""))</f>
        <v/>
      </c>
    </row>
    <row r="230">
      <c r="M230" s="8">
        <f>IF(A230="","",IF(COUNTIFS($A$5:$A$305,A230,$B$5:$B$305,B230,$C$5:$C$305,C230)&gt;1,"重複",""))</f>
        <v/>
      </c>
    </row>
    <row r="231">
      <c r="M231" s="8">
        <f>IF(A231="","",IF(COUNTIFS($A$5:$A$305,A231,$B$5:$B$305,B231,$C$5:$C$305,C231)&gt;1,"重複",""))</f>
        <v/>
      </c>
    </row>
    <row r="232">
      <c r="M232" s="8">
        <f>IF(A232="","",IF(COUNTIFS($A$5:$A$305,A232,$B$5:$B$305,B232,$C$5:$C$305,C232)&gt;1,"重複",""))</f>
        <v/>
      </c>
    </row>
    <row r="233">
      <c r="M233" s="8">
        <f>IF(A233="","",IF(COUNTIFS($A$5:$A$305,A233,$B$5:$B$305,B233,$C$5:$C$305,C233)&gt;1,"重複",""))</f>
        <v/>
      </c>
    </row>
    <row r="234">
      <c r="M234" s="8">
        <f>IF(A234="","",IF(COUNTIFS($A$5:$A$305,A234,$B$5:$B$305,B234,$C$5:$C$305,C234)&gt;1,"重複",""))</f>
        <v/>
      </c>
    </row>
    <row r="235">
      <c r="M235" s="8">
        <f>IF(A235="","",IF(COUNTIFS($A$5:$A$305,A235,$B$5:$B$305,B235,$C$5:$C$305,C235)&gt;1,"重複",""))</f>
        <v/>
      </c>
    </row>
    <row r="236">
      <c r="M236" s="8">
        <f>IF(A236="","",IF(COUNTIFS($A$5:$A$305,A236,$B$5:$B$305,B236,$C$5:$C$305,C236)&gt;1,"重複",""))</f>
        <v/>
      </c>
    </row>
    <row r="237">
      <c r="M237" s="8">
        <f>IF(A237="","",IF(COUNTIFS($A$5:$A$305,A237,$B$5:$B$305,B237,$C$5:$C$305,C237)&gt;1,"重複",""))</f>
        <v/>
      </c>
    </row>
    <row r="238">
      <c r="M238" s="8">
        <f>IF(A238="","",IF(COUNTIFS($A$5:$A$305,A238,$B$5:$B$305,B238,$C$5:$C$305,C238)&gt;1,"重複",""))</f>
        <v/>
      </c>
    </row>
    <row r="239">
      <c r="M239" s="8">
        <f>IF(A239="","",IF(COUNTIFS($A$5:$A$305,A239,$B$5:$B$305,B239,$C$5:$C$305,C239)&gt;1,"重複",""))</f>
        <v/>
      </c>
    </row>
    <row r="240">
      <c r="M240" s="8">
        <f>IF(A240="","",IF(COUNTIFS($A$5:$A$305,A240,$B$5:$B$305,B240,$C$5:$C$305,C240)&gt;1,"重複",""))</f>
        <v/>
      </c>
    </row>
    <row r="241">
      <c r="M241" s="8">
        <f>IF(A241="","",IF(COUNTIFS($A$5:$A$305,A241,$B$5:$B$305,B241,$C$5:$C$305,C241)&gt;1,"重複",""))</f>
        <v/>
      </c>
    </row>
    <row r="242">
      <c r="M242" s="8">
        <f>IF(A242="","",IF(COUNTIFS($A$5:$A$305,A242,$B$5:$B$305,B242,$C$5:$C$305,C242)&gt;1,"重複",""))</f>
        <v/>
      </c>
    </row>
    <row r="243">
      <c r="M243" s="8">
        <f>IF(A243="","",IF(COUNTIFS($A$5:$A$305,A243,$B$5:$B$305,B243,$C$5:$C$305,C243)&gt;1,"重複",""))</f>
        <v/>
      </c>
    </row>
    <row r="244">
      <c r="M244" s="8">
        <f>IF(A244="","",IF(COUNTIFS($A$5:$A$305,A244,$B$5:$B$305,B244,$C$5:$C$305,C244)&gt;1,"重複",""))</f>
        <v/>
      </c>
    </row>
    <row r="245">
      <c r="M245" s="8">
        <f>IF(A245="","",IF(COUNTIFS($A$5:$A$305,A245,$B$5:$B$305,B245,$C$5:$C$305,C245)&gt;1,"重複",""))</f>
        <v/>
      </c>
    </row>
    <row r="246">
      <c r="M246" s="8">
        <f>IF(A246="","",IF(COUNTIFS($A$5:$A$305,A246,$B$5:$B$305,B246,$C$5:$C$305,C246)&gt;1,"重複",""))</f>
        <v/>
      </c>
    </row>
    <row r="247">
      <c r="M247" s="8">
        <f>IF(A247="","",IF(COUNTIFS($A$5:$A$305,A247,$B$5:$B$305,B247,$C$5:$C$305,C247)&gt;1,"重複",""))</f>
        <v/>
      </c>
    </row>
    <row r="248">
      <c r="M248" s="8">
        <f>IF(A248="","",IF(COUNTIFS($A$5:$A$305,A248,$B$5:$B$305,B248,$C$5:$C$305,C248)&gt;1,"重複",""))</f>
        <v/>
      </c>
    </row>
    <row r="249">
      <c r="M249" s="8">
        <f>IF(A249="","",IF(COUNTIFS($A$5:$A$305,A249,$B$5:$B$305,B249,$C$5:$C$305,C249)&gt;1,"重複",""))</f>
        <v/>
      </c>
    </row>
    <row r="250">
      <c r="M250" s="8">
        <f>IF(A250="","",IF(COUNTIFS($A$5:$A$305,A250,$B$5:$B$305,B250,$C$5:$C$305,C250)&gt;1,"重複",""))</f>
        <v/>
      </c>
    </row>
    <row r="251">
      <c r="M251" s="8">
        <f>IF(A251="","",IF(COUNTIFS($A$5:$A$305,A251,$B$5:$B$305,B251,$C$5:$C$305,C251)&gt;1,"重複",""))</f>
        <v/>
      </c>
    </row>
    <row r="252">
      <c r="M252" s="8">
        <f>IF(A252="","",IF(COUNTIFS($A$5:$A$305,A252,$B$5:$B$305,B252,$C$5:$C$305,C252)&gt;1,"重複",""))</f>
        <v/>
      </c>
    </row>
    <row r="253">
      <c r="M253" s="8">
        <f>IF(A253="","",IF(COUNTIFS($A$5:$A$305,A253,$B$5:$B$305,B253,$C$5:$C$305,C253)&gt;1,"重複",""))</f>
        <v/>
      </c>
    </row>
    <row r="254">
      <c r="M254" s="8">
        <f>IF(A254="","",IF(COUNTIFS($A$5:$A$305,A254,$B$5:$B$305,B254,$C$5:$C$305,C254)&gt;1,"重複",""))</f>
        <v/>
      </c>
    </row>
    <row r="255">
      <c r="M255" s="8">
        <f>IF(A255="","",IF(COUNTIFS($A$5:$A$305,A255,$B$5:$B$305,B255,$C$5:$C$305,C255)&gt;1,"重複",""))</f>
        <v/>
      </c>
    </row>
    <row r="256">
      <c r="M256" s="8">
        <f>IF(A256="","",IF(COUNTIFS($A$5:$A$305,A256,$B$5:$B$305,B256,$C$5:$C$305,C256)&gt;1,"重複",""))</f>
        <v/>
      </c>
    </row>
    <row r="257">
      <c r="M257" s="8">
        <f>IF(A257="","",IF(COUNTIFS($A$5:$A$305,A257,$B$5:$B$305,B257,$C$5:$C$305,C257)&gt;1,"重複",""))</f>
        <v/>
      </c>
    </row>
    <row r="258">
      <c r="M258" s="8">
        <f>IF(A258="","",IF(COUNTIFS($A$5:$A$305,A258,$B$5:$B$305,B258,$C$5:$C$305,C258)&gt;1,"重複",""))</f>
        <v/>
      </c>
    </row>
    <row r="259">
      <c r="M259" s="8">
        <f>IF(A259="","",IF(COUNTIFS($A$5:$A$305,A259,$B$5:$B$305,B259,$C$5:$C$305,C259)&gt;1,"重複",""))</f>
        <v/>
      </c>
    </row>
    <row r="260">
      <c r="M260" s="8">
        <f>IF(A260="","",IF(COUNTIFS($A$5:$A$305,A260,$B$5:$B$305,B260,$C$5:$C$305,C260)&gt;1,"重複",""))</f>
        <v/>
      </c>
    </row>
    <row r="261">
      <c r="M261" s="8">
        <f>IF(A261="","",IF(COUNTIFS($A$5:$A$305,A261,$B$5:$B$305,B261,$C$5:$C$305,C261)&gt;1,"重複",""))</f>
        <v/>
      </c>
    </row>
    <row r="262">
      <c r="M262" s="8">
        <f>IF(A262="","",IF(COUNTIFS($A$5:$A$305,A262,$B$5:$B$305,B262,$C$5:$C$305,C262)&gt;1,"重複",""))</f>
        <v/>
      </c>
    </row>
    <row r="263">
      <c r="M263" s="8">
        <f>IF(A263="","",IF(COUNTIFS($A$5:$A$305,A263,$B$5:$B$305,B263,$C$5:$C$305,C263)&gt;1,"重複",""))</f>
        <v/>
      </c>
    </row>
    <row r="264">
      <c r="M264" s="8">
        <f>IF(A264="","",IF(COUNTIFS($A$5:$A$305,A264,$B$5:$B$305,B264,$C$5:$C$305,C264)&gt;1,"重複",""))</f>
        <v/>
      </c>
    </row>
    <row r="265">
      <c r="M265" s="8">
        <f>IF(A265="","",IF(COUNTIFS($A$5:$A$305,A265,$B$5:$B$305,B265,$C$5:$C$305,C265)&gt;1,"重複",""))</f>
        <v/>
      </c>
    </row>
    <row r="266">
      <c r="M266" s="8">
        <f>IF(A266="","",IF(COUNTIFS($A$5:$A$305,A266,$B$5:$B$305,B266,$C$5:$C$305,C266)&gt;1,"重複",""))</f>
        <v/>
      </c>
    </row>
    <row r="267">
      <c r="M267" s="8">
        <f>IF(A267="","",IF(COUNTIFS($A$5:$A$305,A267,$B$5:$B$305,B267,$C$5:$C$305,C267)&gt;1,"重複",""))</f>
        <v/>
      </c>
    </row>
    <row r="268">
      <c r="M268" s="8">
        <f>IF(A268="","",IF(COUNTIFS($A$5:$A$305,A268,$B$5:$B$305,B268,$C$5:$C$305,C268)&gt;1,"重複",""))</f>
        <v/>
      </c>
    </row>
    <row r="269">
      <c r="M269" s="8">
        <f>IF(A269="","",IF(COUNTIFS($A$5:$A$305,A269,$B$5:$B$305,B269,$C$5:$C$305,C269)&gt;1,"重複",""))</f>
        <v/>
      </c>
    </row>
    <row r="270">
      <c r="M270" s="8">
        <f>IF(A270="","",IF(COUNTIFS($A$5:$A$305,A270,$B$5:$B$305,B270,$C$5:$C$305,C270)&gt;1,"重複",""))</f>
        <v/>
      </c>
    </row>
    <row r="271">
      <c r="M271" s="8">
        <f>IF(A271="","",IF(COUNTIFS($A$5:$A$305,A271,$B$5:$B$305,B271,$C$5:$C$305,C271)&gt;1,"重複",""))</f>
        <v/>
      </c>
    </row>
    <row r="272">
      <c r="M272" s="8">
        <f>IF(A272="","",IF(COUNTIFS($A$5:$A$305,A272,$B$5:$B$305,B272,$C$5:$C$305,C272)&gt;1,"重複",""))</f>
        <v/>
      </c>
    </row>
    <row r="273">
      <c r="M273" s="8">
        <f>IF(A273="","",IF(COUNTIFS($A$5:$A$305,A273,$B$5:$B$305,B273,$C$5:$C$305,C273)&gt;1,"重複",""))</f>
        <v/>
      </c>
    </row>
    <row r="274">
      <c r="M274" s="8">
        <f>IF(A274="","",IF(COUNTIFS($A$5:$A$305,A274,$B$5:$B$305,B274,$C$5:$C$305,C274)&gt;1,"重複",""))</f>
        <v/>
      </c>
    </row>
    <row r="275">
      <c r="M275" s="8">
        <f>IF(A275="","",IF(COUNTIFS($A$5:$A$305,A275,$B$5:$B$305,B275,$C$5:$C$305,C275)&gt;1,"重複",""))</f>
        <v/>
      </c>
    </row>
    <row r="276">
      <c r="M276" s="8">
        <f>IF(A276="","",IF(COUNTIFS($A$5:$A$305,A276,$B$5:$B$305,B276,$C$5:$C$305,C276)&gt;1,"重複",""))</f>
        <v/>
      </c>
    </row>
    <row r="277">
      <c r="M277" s="8">
        <f>IF(A277="","",IF(COUNTIFS($A$5:$A$305,A277,$B$5:$B$305,B277,$C$5:$C$305,C277)&gt;1,"重複",""))</f>
        <v/>
      </c>
    </row>
    <row r="278">
      <c r="M278" s="8">
        <f>IF(A278="","",IF(COUNTIFS($A$5:$A$305,A278,$B$5:$B$305,B278,$C$5:$C$305,C278)&gt;1,"重複",""))</f>
        <v/>
      </c>
    </row>
    <row r="279">
      <c r="M279" s="8">
        <f>IF(A279="","",IF(COUNTIFS($A$5:$A$305,A279,$B$5:$B$305,B279,$C$5:$C$305,C279)&gt;1,"重複",""))</f>
        <v/>
      </c>
    </row>
    <row r="280">
      <c r="M280" s="8">
        <f>IF(A280="","",IF(COUNTIFS($A$5:$A$305,A280,$B$5:$B$305,B280,$C$5:$C$305,C280)&gt;1,"重複",""))</f>
        <v/>
      </c>
    </row>
    <row r="281">
      <c r="M281" s="8">
        <f>IF(A281="","",IF(COUNTIFS($A$5:$A$305,A281,$B$5:$B$305,B281,$C$5:$C$305,C281)&gt;1,"重複",""))</f>
        <v/>
      </c>
    </row>
    <row r="282">
      <c r="M282" s="8">
        <f>IF(A282="","",IF(COUNTIFS($A$5:$A$305,A282,$B$5:$B$305,B282,$C$5:$C$305,C282)&gt;1,"重複",""))</f>
        <v/>
      </c>
    </row>
    <row r="283">
      <c r="M283" s="8">
        <f>IF(A283="","",IF(COUNTIFS($A$5:$A$305,A283,$B$5:$B$305,B283,$C$5:$C$305,C283)&gt;1,"重複",""))</f>
        <v/>
      </c>
    </row>
    <row r="284">
      <c r="M284" s="8">
        <f>IF(A284="","",IF(COUNTIFS($A$5:$A$305,A284,$B$5:$B$305,B284,$C$5:$C$305,C284)&gt;1,"重複",""))</f>
        <v/>
      </c>
    </row>
    <row r="285">
      <c r="M285" s="8">
        <f>IF(A285="","",IF(COUNTIFS($A$5:$A$305,A285,$B$5:$B$305,B285,$C$5:$C$305,C285)&gt;1,"重複",""))</f>
        <v/>
      </c>
    </row>
    <row r="286">
      <c r="M286" s="8">
        <f>IF(A286="","",IF(COUNTIFS($A$5:$A$305,A286,$B$5:$B$305,B286,$C$5:$C$305,C286)&gt;1,"重複",""))</f>
        <v/>
      </c>
    </row>
    <row r="287">
      <c r="M287" s="8">
        <f>IF(A287="","",IF(COUNTIFS($A$5:$A$305,A287,$B$5:$B$305,B287,$C$5:$C$305,C287)&gt;1,"重複",""))</f>
        <v/>
      </c>
    </row>
    <row r="288">
      <c r="M288" s="8">
        <f>IF(A288="","",IF(COUNTIFS($A$5:$A$305,A288,$B$5:$B$305,B288,$C$5:$C$305,C288)&gt;1,"重複",""))</f>
        <v/>
      </c>
    </row>
    <row r="289">
      <c r="M289" s="8">
        <f>IF(A289="","",IF(COUNTIFS($A$5:$A$305,A289,$B$5:$B$305,B289,$C$5:$C$305,C289)&gt;1,"重複",""))</f>
        <v/>
      </c>
    </row>
    <row r="290">
      <c r="M290" s="8">
        <f>IF(A290="","",IF(COUNTIFS($A$5:$A$305,A290,$B$5:$B$305,B290,$C$5:$C$305,C290)&gt;1,"重複",""))</f>
        <v/>
      </c>
    </row>
    <row r="291">
      <c r="M291" s="8">
        <f>IF(A291="","",IF(COUNTIFS($A$5:$A$305,A291,$B$5:$B$305,B291,$C$5:$C$305,C291)&gt;1,"重複",""))</f>
        <v/>
      </c>
    </row>
    <row r="292">
      <c r="M292" s="8">
        <f>IF(A292="","",IF(COUNTIFS($A$5:$A$305,A292,$B$5:$B$305,B292,$C$5:$C$305,C292)&gt;1,"重複",""))</f>
        <v/>
      </c>
    </row>
    <row r="293">
      <c r="M293" s="8">
        <f>IF(A293="","",IF(COUNTIFS($A$5:$A$305,A293,$B$5:$B$305,B293,$C$5:$C$305,C293)&gt;1,"重複",""))</f>
        <v/>
      </c>
    </row>
    <row r="294">
      <c r="M294" s="8">
        <f>IF(A294="","",IF(COUNTIFS($A$5:$A$305,A294,$B$5:$B$305,B294,$C$5:$C$305,C294)&gt;1,"重複",""))</f>
        <v/>
      </c>
    </row>
    <row r="295">
      <c r="M295" s="8">
        <f>IF(A295="","",IF(COUNTIFS($A$5:$A$305,A295,$B$5:$B$305,B295,$C$5:$C$305,C295)&gt;1,"重複",""))</f>
        <v/>
      </c>
    </row>
    <row r="296">
      <c r="M296" s="8">
        <f>IF(A296="","",IF(COUNTIFS($A$5:$A$305,A296,$B$5:$B$305,B296,$C$5:$C$305,C296)&gt;1,"重複",""))</f>
        <v/>
      </c>
    </row>
    <row r="297">
      <c r="M297" s="8">
        <f>IF(A297="","",IF(COUNTIFS($A$5:$A$305,A297,$B$5:$B$305,B297,$C$5:$C$305,C297)&gt;1,"重複",""))</f>
        <v/>
      </c>
    </row>
    <row r="298">
      <c r="M298" s="8">
        <f>IF(A298="","",IF(COUNTIFS($A$5:$A$305,A298,$B$5:$B$305,B298,$C$5:$C$305,C298)&gt;1,"重複",""))</f>
        <v/>
      </c>
    </row>
    <row r="299">
      <c r="M299" s="8">
        <f>IF(A299="","",IF(COUNTIFS($A$5:$A$305,A299,$B$5:$B$305,B299,$C$5:$C$305,C299)&gt;1,"重複",""))</f>
        <v/>
      </c>
    </row>
    <row r="300">
      <c r="M300" s="8">
        <f>IF(A300="","",IF(COUNTIFS($A$5:$A$305,A300,$B$5:$B$305,B300,$C$5:$C$305,C300)&gt;1,"重複",""))</f>
        <v/>
      </c>
    </row>
    <row r="301">
      <c r="M301" s="8">
        <f>IF(A301="","",IF(COUNTIFS($A$5:$A$305,A301,$B$5:$B$305,B301,$C$5:$C$305,C301)&gt;1,"重複",""))</f>
        <v/>
      </c>
    </row>
    <row r="302">
      <c r="M302" s="8">
        <f>IF(A302="","",IF(COUNTIFS($A$5:$A$305,A302,$B$5:$B$305,B302,$C$5:$C$305,C302)&gt;1,"重複",""))</f>
        <v/>
      </c>
    </row>
    <row r="303">
      <c r="M303" s="8">
        <f>IF(A303="","",IF(COUNTIFS($A$5:$A$305,A303,$B$5:$B$305,B303,$C$5:$C$305,C303)&gt;1,"重複",""))</f>
        <v/>
      </c>
    </row>
    <row r="304">
      <c r="M304" s="8">
        <f>IF(A304="","",IF(COUNTIFS($A$5:$A$305,A304,$B$5:$B$305,B304,$C$5:$C$305,C304)&gt;1,"重複",""))</f>
        <v/>
      </c>
    </row>
  </sheetData>
  <dataValidations count="3">
    <dataValidation sqref="A5:A305" showDropDown="0" showInputMessage="0" showErrorMessage="0" allowBlank="1" errorTitle="入力できない値です" error="一覧から選んでください" type="list">
      <formula1>"社保取得,社保喪失,雇保取得,雇保喪失"</formula1>
    </dataValidation>
    <dataValidation sqref="G5:G305" showDropDown="0" showInputMessage="0" showErrorMessage="0" allowBlank="1" errorTitle="入力できない値です" error="一覧から選んでください" type="list">
      <formula1>"文字,数値,日付8,日付表示,和暦7,和暦6,元号コード,和暦表示,時間分"</formula1>
    </dataValidation>
    <dataValidation sqref="I5:I305" showDropDown="0" showInputMessage="0" showErrorMessage="0" allowBlank="1" errorTitle="入力できない値です" error="一覧から選んでください" type="list">
      <formula1>"○"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50" customWidth="1" min="4" max="4"/>
  </cols>
  <sheetData>
    <row r="1">
      <c r="A1" s="4" t="inlineStr">
        <is>
          <t>コード表（表示値 → CSVコード）</t>
        </is>
      </c>
    </row>
    <row r="2">
      <c r="A2" s="5" t="inlineStr">
        <is>
          <t>レイアウト定義の変換「コード表:区分名」で使う。CSVコードが空の行を選ぶとエラーになる</t>
        </is>
      </c>
    </row>
    <row r="4" ht="22" customHeight="1">
      <c r="A4" s="9" t="inlineStr">
        <is>
          <t>区分</t>
        </is>
      </c>
      <c r="B4" s="9" t="inlineStr">
        <is>
          <t>表示値</t>
        </is>
      </c>
      <c r="C4" s="9" t="inlineStr">
        <is>
          <t>CSVコード</t>
        </is>
      </c>
      <c r="D4" s="9" t="inlineStr">
        <is>
          <t>備考</t>
        </is>
      </c>
    </row>
    <row r="5">
      <c r="A5" s="18" t="inlineStr">
        <is>
          <t>社保種別</t>
        </is>
      </c>
      <c r="B5" s="18" t="inlineStr">
        <is>
          <t>男</t>
        </is>
      </c>
      <c r="C5" s="27" t="inlineStr">
        <is>
          <t>1</t>
        </is>
      </c>
      <c r="D5" s="18" t="inlineStr">
        <is>
          <t>届書様式の番号。CSV仕様書で要確認</t>
        </is>
      </c>
    </row>
    <row r="6">
      <c r="A6" s="18" t="inlineStr">
        <is>
          <t>社保種別</t>
        </is>
      </c>
      <c r="B6" s="18" t="inlineStr">
        <is>
          <t>女</t>
        </is>
      </c>
      <c r="C6" s="27" t="inlineStr">
        <is>
          <t>2</t>
        </is>
      </c>
      <c r="D6" s="18" t="inlineStr">
        <is>
          <t>届書様式の番号。CSV仕様書で要確認</t>
        </is>
      </c>
    </row>
    <row r="7">
      <c r="A7" s="18" t="inlineStr">
        <is>
          <t>有無01</t>
        </is>
      </c>
      <c r="B7" s="18" t="inlineStr">
        <is>
          <t>無</t>
        </is>
      </c>
      <c r="C7" s="27" t="inlineStr">
        <is>
          <t>0</t>
        </is>
      </c>
      <c r="D7" s="18" t="inlineStr">
        <is>
          <t>届書様式の番号。CSV仕様書で要確認</t>
        </is>
      </c>
    </row>
    <row r="8">
      <c r="A8" s="18" t="inlineStr">
        <is>
          <t>有無01</t>
        </is>
      </c>
      <c r="B8" s="18" t="inlineStr">
        <is>
          <t>有</t>
        </is>
      </c>
      <c r="C8" s="27" t="inlineStr">
        <is>
          <t>1</t>
        </is>
      </c>
      <c r="D8" s="18" t="inlineStr">
        <is>
          <t>届書様式の番号。CSV仕様書で要確認</t>
        </is>
      </c>
    </row>
    <row r="9">
      <c r="A9" s="18" t="inlineStr">
        <is>
          <t>社保備考</t>
        </is>
      </c>
      <c r="B9" s="18" t="inlineStr">
        <is>
          <t>70歳以上被用者該当</t>
        </is>
      </c>
      <c r="C9" s="27" t="inlineStr">
        <is>
          <t>1</t>
        </is>
      </c>
      <c r="D9" s="18" t="inlineStr">
        <is>
          <t>届書様式の番号。CSV仕様書で要確認</t>
        </is>
      </c>
    </row>
    <row r="10">
      <c r="A10" s="18" t="inlineStr">
        <is>
          <t>社保備考</t>
        </is>
      </c>
      <c r="B10" s="18" t="inlineStr">
        <is>
          <t>二以上事業所勤務者の取得</t>
        </is>
      </c>
      <c r="C10" s="27" t="inlineStr">
        <is>
          <t>2</t>
        </is>
      </c>
      <c r="D10" s="18" t="inlineStr">
        <is>
          <t>届書様式の番号。CSV仕様書で要確認</t>
        </is>
      </c>
    </row>
    <row r="11">
      <c r="A11" s="18" t="inlineStr">
        <is>
          <t>社保備考</t>
        </is>
      </c>
      <c r="B11" s="18" t="inlineStr">
        <is>
          <t>短時間労働者の取得</t>
        </is>
      </c>
      <c r="C11" s="27" t="inlineStr">
        <is>
          <t>3</t>
        </is>
      </c>
      <c r="D11" s="18" t="inlineStr">
        <is>
          <t>届書様式の番号。CSV仕様書で要確認</t>
        </is>
      </c>
    </row>
    <row r="12">
      <c r="A12" s="18" t="inlineStr">
        <is>
          <t>社保備考</t>
        </is>
      </c>
      <c r="B12" s="18" t="inlineStr">
        <is>
          <t>退職後の継続再雇用者の取得</t>
        </is>
      </c>
      <c r="C12" s="27" t="inlineStr">
        <is>
          <t>4</t>
        </is>
      </c>
      <c r="D12" s="18" t="inlineStr">
        <is>
          <t>届書様式の番号。CSV仕様書で要確認</t>
        </is>
      </c>
    </row>
    <row r="13">
      <c r="A13" s="18" t="inlineStr">
        <is>
          <t>社保備考</t>
        </is>
      </c>
      <c r="B13" s="18" t="inlineStr">
        <is>
          <t>その他</t>
        </is>
      </c>
      <c r="C13" s="27" t="inlineStr">
        <is>
          <t>5</t>
        </is>
      </c>
      <c r="D13" s="18" t="inlineStr">
        <is>
          <t>届書様式の番号。CSV仕様書で要確認</t>
        </is>
      </c>
    </row>
    <row r="14">
      <c r="A14" s="18" t="inlineStr">
        <is>
          <t>社保喪失原因</t>
        </is>
      </c>
      <c r="B14" s="18" t="inlineStr">
        <is>
          <t>退職等</t>
        </is>
      </c>
      <c r="C14" s="27" t="inlineStr">
        <is>
          <t>4</t>
        </is>
      </c>
      <c r="D14" s="18" t="inlineStr">
        <is>
          <t>届書様式の番号。CSV仕様書で要確認</t>
        </is>
      </c>
    </row>
    <row r="15">
      <c r="A15" s="18" t="inlineStr">
        <is>
          <t>社保喪失原因</t>
        </is>
      </c>
      <c r="B15" s="18" t="inlineStr">
        <is>
          <t>死亡</t>
        </is>
      </c>
      <c r="C15" s="27" t="inlineStr">
        <is>
          <t>5</t>
        </is>
      </c>
      <c r="D15" s="18" t="inlineStr">
        <is>
          <t>届書様式の番号。CSV仕様書で要確認</t>
        </is>
      </c>
    </row>
    <row r="16">
      <c r="A16" s="18" t="inlineStr">
        <is>
          <t>社保喪失原因</t>
        </is>
      </c>
      <c r="B16" s="18" t="inlineStr">
        <is>
          <t>75歳到達</t>
        </is>
      </c>
      <c r="C16" s="27" t="inlineStr">
        <is>
          <t>7</t>
        </is>
      </c>
      <c r="D16" s="18" t="inlineStr">
        <is>
          <t>届書様式の番号。CSV仕様書で要確認</t>
        </is>
      </c>
    </row>
    <row r="17">
      <c r="A17" s="18" t="inlineStr">
        <is>
          <t>社保喪失原因</t>
        </is>
      </c>
      <c r="B17" s="18" t="inlineStr">
        <is>
          <t>障害認定</t>
        </is>
      </c>
      <c r="C17" s="27" t="inlineStr">
        <is>
          <t>9</t>
        </is>
      </c>
      <c r="D17" s="18" t="inlineStr">
        <is>
          <t>届書様式の番号。CSV仕様書で要確認</t>
        </is>
      </c>
    </row>
    <row r="18">
      <c r="A18" s="18" t="inlineStr">
        <is>
          <t>社保喪失備考</t>
        </is>
      </c>
      <c r="B18" s="18" t="inlineStr">
        <is>
          <t>二以上事業所勤務者の喪失</t>
        </is>
      </c>
      <c r="C18" s="24" t="inlineStr"/>
      <c r="D18" s="18" t="inlineStr">
        <is>
          <t>未入力（要確認）。選ぶとエラーになる</t>
        </is>
      </c>
    </row>
    <row r="19">
      <c r="A19" s="18" t="inlineStr">
        <is>
          <t>社保喪失備考</t>
        </is>
      </c>
      <c r="B19" s="18" t="inlineStr">
        <is>
          <t>退職後の継続再雇用者の喪失</t>
        </is>
      </c>
      <c r="C19" s="24" t="inlineStr"/>
      <c r="D19" s="18" t="inlineStr">
        <is>
          <t>未入力（要確認）</t>
        </is>
      </c>
    </row>
    <row r="20">
      <c r="A20" s="18" t="inlineStr">
        <is>
          <t>社保喪失備考</t>
        </is>
      </c>
      <c r="B20" s="18" t="inlineStr">
        <is>
          <t>その他</t>
        </is>
      </c>
      <c r="C20" s="24" t="inlineStr"/>
      <c r="D20" s="18" t="inlineStr">
        <is>
          <t>未入力（要確認）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/>
  </sheetPr>
  <dimension ref="A1:Z6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9" customWidth="1" min="18" max="18"/>
    <col width="5" customWidth="1" min="19" max="19"/>
    <col width="5" customWidth="1" min="20" max="20"/>
    <col width="18" customWidth="1" min="21" max="21"/>
    <col width="22" customWidth="1" min="22" max="22"/>
    <col width="30" customWidth="1" min="23" max="23"/>
    <col width="6" customWidth="1" min="24" max="24"/>
    <col width="6" customWidth="1" min="25" max="25"/>
    <col width="12" customWidth="1" min="26" max="26"/>
  </cols>
  <sheetData>
    <row r="1">
      <c r="A1" s="4" t="inlineStr">
        <is>
          <t>ルール（チェックリストの判定表）</t>
        </is>
      </c>
    </row>
    <row r="2">
      <c r="A2" s="5" t="inlineStr">
        <is>
          <t>条件列：空欄＝問わない／有・無＝その値のときだけ該当。行を足せば届出を追加できる（緑の数式は下までコピー済み）</t>
        </is>
      </c>
    </row>
    <row r="4" ht="40" customHeight="1">
      <c r="A4" s="9" t="inlineStr">
        <is>
          <t>No</t>
        </is>
      </c>
      <c r="B4" s="9" t="inlineStr">
        <is>
          <t>届出名</t>
        </is>
      </c>
      <c r="C4" s="9" t="inlineStr">
        <is>
          <t>届出先</t>
        </is>
      </c>
      <c r="D4" s="9" t="inlineStr">
        <is>
          <t>場面</t>
        </is>
      </c>
      <c r="E4" s="9" t="inlineStr">
        <is>
          <t>社保</t>
        </is>
      </c>
      <c r="F4" s="9" t="inlineStr">
        <is>
          <t>雇保</t>
        </is>
      </c>
      <c r="G4" s="9" t="inlineStr">
        <is>
          <t>外国籍</t>
        </is>
      </c>
      <c r="H4" s="9" t="inlineStr">
        <is>
          <t>特定技能</t>
        </is>
      </c>
      <c r="I4" s="9" t="inlineStr">
        <is>
          <t>扶養</t>
        </is>
      </c>
      <c r="J4" s="9" t="inlineStr">
        <is>
          <t>70歳以上</t>
        </is>
      </c>
      <c r="K4" s="9" t="inlineStr">
        <is>
          <t>離職票要</t>
        </is>
      </c>
      <c r="L4" s="9" t="inlineStr">
        <is>
          <t>特徴</t>
        </is>
      </c>
      <c r="M4" s="9" t="inlineStr">
        <is>
          <t>共済</t>
        </is>
      </c>
      <c r="N4" s="9" t="inlineStr">
        <is>
          <t>役職</t>
        </is>
      </c>
      <c r="O4" s="9" t="inlineStr">
        <is>
          <t>退職金</t>
        </is>
      </c>
      <c r="P4" s="9" t="inlineStr">
        <is>
          <t>障害者</t>
        </is>
      </c>
      <c r="Q4" s="9" t="inlineStr">
        <is>
          <t>解雇</t>
        </is>
      </c>
      <c r="R4" s="9" t="inlineStr">
        <is>
          <t>加算方式</t>
        </is>
      </c>
      <c r="S4" s="9" t="inlineStr">
        <is>
          <t>起算</t>
        </is>
      </c>
      <c r="T4" s="9" t="inlineStr">
        <is>
          <t>日数</t>
        </is>
      </c>
      <c r="U4" s="9" t="inlineStr">
        <is>
          <t>期限文言</t>
        </is>
      </c>
      <c r="V4" s="9" t="inlineStr">
        <is>
          <t>作成方法</t>
        </is>
      </c>
      <c r="W4" s="9" t="inlineStr">
        <is>
          <t>備考</t>
        </is>
      </c>
      <c r="X4" s="9" t="inlineStr">
        <is>
          <t>該当</t>
        </is>
      </c>
      <c r="Y4" s="9" t="inlineStr">
        <is>
          <t>該当番号</t>
        </is>
      </c>
      <c r="Z4" s="9" t="inlineStr">
        <is>
          <t>期限</t>
        </is>
      </c>
    </row>
    <row r="5">
      <c r="A5" s="18" t="n">
        <v>1</v>
      </c>
      <c r="B5" s="18" t="inlineStr">
        <is>
          <t>健保・厚年 資格取得届</t>
        </is>
      </c>
      <c r="C5" s="18" t="inlineStr">
        <is>
          <t>年金事務所</t>
        </is>
      </c>
      <c r="D5" s="18" t="inlineStr">
        <is>
          <t>採用</t>
        </is>
      </c>
      <c r="E5" s="18" t="inlineStr">
        <is>
          <t>有</t>
        </is>
      </c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>
        <is>
          <t>日数</t>
        </is>
      </c>
      <c r="S5" s="18" t="n">
        <v>0</v>
      </c>
      <c r="T5" s="18" t="n">
        <v>5</v>
      </c>
      <c r="U5" s="18" t="inlineStr"/>
      <c r="V5" s="18" t="inlineStr">
        <is>
          <t>本ツール（社保取得）</t>
        </is>
      </c>
      <c r="W5" s="18" t="inlineStr">
        <is>
          <t>入職日を1日目として5日以内</t>
        </is>
      </c>
      <c r="X5" s="8">
        <f>AND($B5&lt;&gt;"",入力区分&lt;&gt;"",OR($D5="両方",$D5=入力区分),OR($E5="",$E5=条件_社保),OR($F5="",$F5=条件_雇保),OR($G5="",$G5=条件_外国籍),OR($H5="",$H5=条件_特定技能),OR($I5="",$I5=条件_扶養),OR($J5="",$J5=条件_70歳以上),OR($K5="",$K5=条件_離職票要),OR($L5="",$L5=条件_特徴),OR($M5="",$M5=条件_共済),OR($N5="",$N5=条件_役職),OR($O5="",$O5=条件_退職金),OR($P5="",$P5=条件_障害者),OR($Q5="",$Q5=条件_解雇))</f>
        <v/>
      </c>
      <c r="Y5" s="8">
        <f>IF($X5,COUNTIF($X$5:$X5,TRUE),"")</f>
        <v/>
      </c>
      <c r="Z5" s="29">
        <f>IF(NOT($X5),"",IF($R5="文言",$U5,IF(入力基準日="","基準日を入力",IF($R5="日数",入力基準日+$S5+$T5-1,IF($R5="翌月10日",EOMONTH(入力基準日,0)+10,IF($R5="翌月末",EOMONTH(入力基準日,1),IF($R5="1か月後",EDATE(入力基準日,1),$U5)))))))</f>
        <v/>
      </c>
    </row>
    <row r="6">
      <c r="A6" s="18" t="n">
        <v>2</v>
      </c>
      <c r="B6" s="18" t="inlineStr">
        <is>
          <t>被扶養者（異動）届／国民年金第3号被保険者関係届</t>
        </is>
      </c>
      <c r="C6" s="18" t="inlineStr">
        <is>
          <t>年金事務所</t>
        </is>
      </c>
      <c r="D6" s="18" t="inlineStr">
        <is>
          <t>採用</t>
        </is>
      </c>
      <c r="E6" s="18" t="inlineStr">
        <is>
          <t>有</t>
        </is>
      </c>
      <c r="F6" s="18" t="inlineStr"/>
      <c r="G6" s="18" t="inlineStr"/>
      <c r="H6" s="18" t="inlineStr"/>
      <c r="I6" s="18" t="inlineStr">
        <is>
          <t>有</t>
        </is>
      </c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>
        <is>
          <t>日数</t>
        </is>
      </c>
      <c r="S6" s="18" t="n">
        <v>0</v>
      </c>
      <c r="T6" s="18" t="n">
        <v>5</v>
      </c>
      <c r="U6" s="18" t="inlineStr"/>
      <c r="V6" s="18" t="inlineStr">
        <is>
          <t>届書作成プログラム</t>
        </is>
      </c>
      <c r="W6" s="18" t="inlineStr">
        <is>
          <t>続柄・収入の確認は人が行う</t>
        </is>
      </c>
      <c r="X6" s="8">
        <f>AND($B6&lt;&gt;"",入力区分&lt;&gt;"",OR($D6="両方",$D6=入力区分),OR($E6="",$E6=条件_社保),OR($F6="",$F6=条件_雇保),OR($G6="",$G6=条件_外国籍),OR($H6="",$H6=条件_特定技能),OR($I6="",$I6=条件_扶養),OR($J6="",$J6=条件_70歳以上),OR($K6="",$K6=条件_離職票要),OR($L6="",$L6=条件_特徴),OR($M6="",$M6=条件_共済),OR($N6="",$N6=条件_役職),OR($O6="",$O6=条件_退職金),OR($P6="",$P6=条件_障害者),OR($Q6="",$Q6=条件_解雇))</f>
        <v/>
      </c>
      <c r="Y6" s="8">
        <f>IF($X6,COUNTIF($X$5:$X6,TRUE),"")</f>
        <v/>
      </c>
      <c r="Z6" s="29">
        <f>IF(NOT($X6),"",IF($R6="文言",$U6,IF(入力基準日="","基準日を入力",IF($R6="日数",入力基準日+$S6+$T6-1,IF($R6="翌月10日",EOMONTH(入力基準日,0)+10,IF($R6="翌月末",EOMONTH(入力基準日,1),IF($R6="1か月後",EDATE(入力基準日,1),$U6)))))))</f>
        <v/>
      </c>
    </row>
    <row r="7">
      <c r="A7" s="18" t="n">
        <v>3</v>
      </c>
      <c r="B7" s="18" t="inlineStr">
        <is>
          <t>70歳以上被用者 該当届</t>
        </is>
      </c>
      <c r="C7" s="18" t="inlineStr">
        <is>
          <t>年金事務所</t>
        </is>
      </c>
      <c r="D7" s="18" t="inlineStr">
        <is>
          <t>採用</t>
        </is>
      </c>
      <c r="E7" s="18" t="inlineStr">
        <is>
          <t>有</t>
        </is>
      </c>
      <c r="F7" s="18" t="inlineStr"/>
      <c r="G7" s="18" t="inlineStr"/>
      <c r="H7" s="18" t="inlineStr"/>
      <c r="I7" s="18" t="inlineStr"/>
      <c r="J7" s="18" t="inlineStr">
        <is>
          <t>有</t>
        </is>
      </c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>
        <is>
          <t>日数</t>
        </is>
      </c>
      <c r="S7" s="18" t="n">
        <v>0</v>
      </c>
      <c r="T7" s="18" t="n">
        <v>5</v>
      </c>
      <c r="U7" s="18" t="inlineStr"/>
      <c r="V7" s="18" t="inlineStr">
        <is>
          <t>取得届と同じ様式</t>
        </is>
      </c>
      <c r="W7" s="18" t="inlineStr">
        <is>
          <t>台帳の社保備考区分で「70歳以上被用者該当」を選ぶ</t>
        </is>
      </c>
      <c r="X7" s="8">
        <f>AND($B7&lt;&gt;"",入力区分&lt;&gt;"",OR($D7="両方",$D7=入力区分),OR($E7="",$E7=条件_社保),OR($F7="",$F7=条件_雇保),OR($G7="",$G7=条件_外国籍),OR($H7="",$H7=条件_特定技能),OR($I7="",$I7=条件_扶養),OR($J7="",$J7=条件_70歳以上),OR($K7="",$K7=条件_離職票要),OR($L7="",$L7=条件_特徴),OR($M7="",$M7=条件_共済),OR($N7="",$N7=条件_役職),OR($O7="",$O7=条件_退職金),OR($P7="",$P7=条件_障害者),OR($Q7="",$Q7=条件_解雇))</f>
        <v/>
      </c>
      <c r="Y7" s="8">
        <f>IF($X7,COUNTIF($X$5:$X7,TRUE),"")</f>
        <v/>
      </c>
      <c r="Z7" s="29">
        <f>IF(NOT($X7),"",IF($R7="文言",$U7,IF(入力基準日="","基準日を入力",IF($R7="日数",入力基準日+$S7+$T7-1,IF($R7="翌月10日",EOMONTH(入力基準日,0)+10,IF($R7="翌月末",EOMONTH(入力基準日,1),IF($R7="1か月後",EDATE(入力基準日,1),$U7)))))))</f>
        <v/>
      </c>
    </row>
    <row r="8">
      <c r="A8" s="18" t="n">
        <v>4</v>
      </c>
      <c r="B8" s="18" t="inlineStr">
        <is>
          <t>ローマ字氏名届</t>
        </is>
      </c>
      <c r="C8" s="18" t="inlineStr">
        <is>
          <t>年金事務所</t>
        </is>
      </c>
      <c r="D8" s="18" t="inlineStr">
        <is>
          <t>採用</t>
        </is>
      </c>
      <c r="E8" s="18" t="inlineStr">
        <is>
          <t>有</t>
        </is>
      </c>
      <c r="F8" s="18" t="inlineStr"/>
      <c r="G8" s="18" t="inlineStr">
        <is>
          <t>有</t>
        </is>
      </c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>
        <is>
          <t>日数</t>
        </is>
      </c>
      <c r="S8" s="18" t="n">
        <v>0</v>
      </c>
      <c r="T8" s="18" t="n">
        <v>5</v>
      </c>
      <c r="U8" s="18" t="inlineStr"/>
      <c r="V8" s="18" t="inlineStr">
        <is>
          <t>取得届と同時（紙）</t>
        </is>
      </c>
      <c r="W8" s="18" t="inlineStr">
        <is>
          <t>個人番号と基礎年金番号が結びつかない外国籍の人</t>
        </is>
      </c>
      <c r="X8" s="8">
        <f>AND($B8&lt;&gt;"",入力区分&lt;&gt;"",OR($D8="両方",$D8=入力区分),OR($E8="",$E8=条件_社保),OR($F8="",$F8=条件_雇保),OR($G8="",$G8=条件_外国籍),OR($H8="",$H8=条件_特定技能),OR($I8="",$I8=条件_扶養),OR($J8="",$J8=条件_70歳以上),OR($K8="",$K8=条件_離職票要),OR($L8="",$L8=条件_特徴),OR($M8="",$M8=条件_共済),OR($N8="",$N8=条件_役職),OR($O8="",$O8=条件_退職金),OR($P8="",$P8=条件_障害者),OR($Q8="",$Q8=条件_解雇))</f>
        <v/>
      </c>
      <c r="Y8" s="8">
        <f>IF($X8,COUNTIF($X$5:$X8,TRUE),"")</f>
        <v/>
      </c>
      <c r="Z8" s="29">
        <f>IF(NOT($X8),"",IF($R8="文言",$U8,IF(入力基準日="","基準日を入力",IF($R8="日数",入力基準日+$S8+$T8-1,IF($R8="翌月10日",EOMONTH(入力基準日,0)+10,IF($R8="翌月末",EOMONTH(入力基準日,1),IF($R8="1か月後",EDATE(入力基準日,1),$U8)))))))</f>
        <v/>
      </c>
    </row>
    <row r="9">
      <c r="A9" s="18" t="n">
        <v>5</v>
      </c>
      <c r="B9" s="18" t="inlineStr">
        <is>
          <t>健保・厚年 資格喪失届</t>
        </is>
      </c>
      <c r="C9" s="18" t="inlineStr">
        <is>
          <t>年金事務所</t>
        </is>
      </c>
      <c r="D9" s="18" t="inlineStr">
        <is>
          <t>退職</t>
        </is>
      </c>
      <c r="E9" s="18" t="inlineStr">
        <is>
          <t>有</t>
        </is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>
        <is>
          <t>日数</t>
        </is>
      </c>
      <c r="S9" s="18" t="n">
        <v>1</v>
      </c>
      <c r="T9" s="18" t="n">
        <v>5</v>
      </c>
      <c r="U9" s="18" t="inlineStr"/>
      <c r="V9" s="18" t="inlineStr">
        <is>
          <t>本ツール（社保喪失）</t>
        </is>
      </c>
      <c r="W9" s="18" t="inlineStr">
        <is>
          <t>喪失日（退職日の翌日）を1日目として5日以内</t>
        </is>
      </c>
      <c r="X9" s="8">
        <f>AND($B9&lt;&gt;"",入力区分&lt;&gt;"",OR($D9="両方",$D9=入力区分),OR($E9="",$E9=条件_社保),OR($F9="",$F9=条件_雇保),OR($G9="",$G9=条件_外国籍),OR($H9="",$H9=条件_特定技能),OR($I9="",$I9=条件_扶養),OR($J9="",$J9=条件_70歳以上),OR($K9="",$K9=条件_離職票要),OR($L9="",$L9=条件_特徴),OR($M9="",$M9=条件_共済),OR($N9="",$N9=条件_役職),OR($O9="",$O9=条件_退職金),OR($P9="",$P9=条件_障害者),OR($Q9="",$Q9=条件_解雇))</f>
        <v/>
      </c>
      <c r="Y9" s="8">
        <f>IF($X9,COUNTIF($X$5:$X9,TRUE),"")</f>
        <v/>
      </c>
      <c r="Z9" s="29">
        <f>IF(NOT($X9),"",IF($R9="文言",$U9,IF(入力基準日="","基準日を入力",IF($R9="日数",入力基準日+$S9+$T9-1,IF($R9="翌月10日",EOMONTH(入力基準日,0)+10,IF($R9="翌月末",EOMONTH(入力基準日,1),IF($R9="1か月後",EDATE(入力基準日,1),$U9)))))))</f>
        <v/>
      </c>
    </row>
    <row r="10">
      <c r="A10" s="18" t="n">
        <v>6</v>
      </c>
      <c r="B10" s="18" t="inlineStr">
        <is>
          <t>70歳以上被用者 不該当届</t>
        </is>
      </c>
      <c r="C10" s="18" t="inlineStr">
        <is>
          <t>年金事務所</t>
        </is>
      </c>
      <c r="D10" s="18" t="inlineStr">
        <is>
          <t>退職</t>
        </is>
      </c>
      <c r="E10" s="18" t="inlineStr">
        <is>
          <t>有</t>
        </is>
      </c>
      <c r="F10" s="18" t="inlineStr"/>
      <c r="G10" s="18" t="inlineStr"/>
      <c r="H10" s="18" t="inlineStr"/>
      <c r="I10" s="18" t="inlineStr"/>
      <c r="J10" s="18" t="inlineStr">
        <is>
          <t>有</t>
        </is>
      </c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>
        <is>
          <t>日数</t>
        </is>
      </c>
      <c r="S10" s="18" t="n">
        <v>1</v>
      </c>
      <c r="T10" s="18" t="n">
        <v>5</v>
      </c>
      <c r="U10" s="18" t="inlineStr"/>
      <c r="V10" s="18" t="inlineStr">
        <is>
          <t>喪失届と同じ様式</t>
        </is>
      </c>
      <c r="W10" s="18" t="inlineStr"/>
      <c r="X10" s="8">
        <f>AND($B10&lt;&gt;"",入力区分&lt;&gt;"",OR($D10="両方",$D10=入力区分),OR($E10="",$E10=条件_社保),OR($F10="",$F10=条件_雇保),OR($G10="",$G10=条件_外国籍),OR($H10="",$H10=条件_特定技能),OR($I10="",$I10=条件_扶養),OR($J10="",$J10=条件_70歳以上),OR($K10="",$K10=条件_離職票要),OR($L10="",$L10=条件_特徴),OR($M10="",$M10=条件_共済),OR($N10="",$N10=条件_役職),OR($O10="",$O10=条件_退職金),OR($P10="",$P10=条件_障害者),OR($Q10="",$Q10=条件_解雇))</f>
        <v/>
      </c>
      <c r="Y10" s="8">
        <f>IF($X10,COUNTIF($X$5:$X10,TRUE),"")</f>
        <v/>
      </c>
      <c r="Z10" s="29">
        <f>IF(NOT($X10),"",IF($R10="文言",$U10,IF(入力基準日="","基準日を入力",IF($R10="日数",入力基準日+$S10+$T10-1,IF($R10="翌月10日",EOMONTH(入力基準日,0)+10,IF($R10="翌月末",EOMONTH(入力基準日,1),IF($R10="1か月後",EDATE(入力基準日,1),$U10)))))))</f>
        <v/>
      </c>
    </row>
    <row r="11">
      <c r="A11" s="18" t="n">
        <v>7</v>
      </c>
      <c r="B11" s="18" t="inlineStr">
        <is>
          <t>雇用保険 資格取得届</t>
        </is>
      </c>
      <c r="C11" s="18" t="inlineStr">
        <is>
          <t>ハローワーク</t>
        </is>
      </c>
      <c r="D11" s="18" t="inlineStr">
        <is>
          <t>採用</t>
        </is>
      </c>
      <c r="E11" s="18" t="inlineStr"/>
      <c r="F11" s="18" t="inlineStr">
        <is>
          <t>有</t>
        </is>
      </c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>
        <is>
          <t>翌月10日</t>
        </is>
      </c>
      <c r="S11" s="18" t="n">
        <v>0</v>
      </c>
      <c r="T11" s="18" t="inlineStr"/>
      <c r="U11" s="18" t="inlineStr"/>
      <c r="V11" s="18" t="inlineStr">
        <is>
          <t>本ツール（雇保取得・転記一覧）</t>
        </is>
      </c>
      <c r="W11" s="18" t="inlineStr"/>
      <c r="X11" s="8">
        <f>AND($B11&lt;&gt;"",入力区分&lt;&gt;"",OR($D11="両方",$D11=入力区分),OR($E11="",$E11=条件_社保),OR($F11="",$F11=条件_雇保),OR($G11="",$G11=条件_外国籍),OR($H11="",$H11=条件_特定技能),OR($I11="",$I11=条件_扶養),OR($J11="",$J11=条件_70歳以上),OR($K11="",$K11=条件_離職票要),OR($L11="",$L11=条件_特徴),OR($M11="",$M11=条件_共済),OR($N11="",$N11=条件_役職),OR($O11="",$O11=条件_退職金),OR($P11="",$P11=条件_障害者),OR($Q11="",$Q11=条件_解雇))</f>
        <v/>
      </c>
      <c r="Y11" s="8">
        <f>IF($X11,COUNTIF($X$5:$X11,TRUE),"")</f>
        <v/>
      </c>
      <c r="Z11" s="29">
        <f>IF(NOT($X11),"",IF($R11="文言",$U11,IF(入力基準日="","基準日を入力",IF($R11="日数",入力基準日+$S11+$T11-1,IF($R11="翌月10日",EOMONTH(入力基準日,0)+10,IF($R11="翌月末",EOMONTH(入力基準日,1),IF($R11="1か月後",EDATE(入力基準日,1),$U11)))))))</f>
        <v/>
      </c>
    </row>
    <row r="12">
      <c r="A12" s="18" t="n">
        <v>8</v>
      </c>
      <c r="B12" s="18" t="inlineStr">
        <is>
          <t>雇用保険 資格喪失届</t>
        </is>
      </c>
      <c r="C12" s="18" t="inlineStr">
        <is>
          <t>ハローワーク</t>
        </is>
      </c>
      <c r="D12" s="18" t="inlineStr">
        <is>
          <t>退職</t>
        </is>
      </c>
      <c r="E12" s="18" t="inlineStr"/>
      <c r="F12" s="18" t="inlineStr">
        <is>
          <t>有</t>
        </is>
      </c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>
        <is>
          <t>日数</t>
        </is>
      </c>
      <c r="S12" s="18" t="n">
        <v>2</v>
      </c>
      <c r="T12" s="18" t="n">
        <v>10</v>
      </c>
      <c r="U12" s="18" t="inlineStr"/>
      <c r="V12" s="18" t="inlineStr">
        <is>
          <t>本ツール（雇保喪失・転記一覧）</t>
        </is>
      </c>
      <c r="W12" s="18" t="inlineStr">
        <is>
          <t>喪失日の翌日から10日以内</t>
        </is>
      </c>
      <c r="X12" s="8">
        <f>AND($B12&lt;&gt;"",入力区分&lt;&gt;"",OR($D12="両方",$D12=入力区分),OR($E12="",$E12=条件_社保),OR($F12="",$F12=条件_雇保),OR($G12="",$G12=条件_外国籍),OR($H12="",$H12=条件_特定技能),OR($I12="",$I12=条件_扶養),OR($J12="",$J12=条件_70歳以上),OR($K12="",$K12=条件_離職票要),OR($L12="",$L12=条件_特徴),OR($M12="",$M12=条件_共済),OR($N12="",$N12=条件_役職),OR($O12="",$O12=条件_退職金),OR($P12="",$P12=条件_障害者),OR($Q12="",$Q12=条件_解雇))</f>
        <v/>
      </c>
      <c r="Y12" s="8">
        <f>IF($X12,COUNTIF($X$5:$X12,TRUE),"")</f>
        <v/>
      </c>
      <c r="Z12" s="29">
        <f>IF(NOT($X12),"",IF($R12="文言",$U12,IF(入力基準日="","基準日を入力",IF($R12="日数",入力基準日+$S12+$T12-1,IF($R12="翌月10日",EOMONTH(入力基準日,0)+10,IF($R12="翌月末",EOMONTH(入力基準日,1),IF($R12="1か月後",EDATE(入力基準日,1),$U12)))))))</f>
        <v/>
      </c>
    </row>
    <row r="13">
      <c r="A13" s="18" t="n">
        <v>9</v>
      </c>
      <c r="B13" s="18" t="inlineStr">
        <is>
          <t>雇用保険 離職証明書</t>
        </is>
      </c>
      <c r="C13" s="18" t="inlineStr">
        <is>
          <t>ハローワーク</t>
        </is>
      </c>
      <c r="D13" s="18" t="inlineStr">
        <is>
          <t>退職</t>
        </is>
      </c>
      <c r="E13" s="18" t="inlineStr"/>
      <c r="F13" s="18" t="inlineStr">
        <is>
          <t>有</t>
        </is>
      </c>
      <c r="G13" s="18" t="inlineStr"/>
      <c r="H13" s="18" t="inlineStr"/>
      <c r="I13" s="18" t="inlineStr"/>
      <c r="J13" s="18" t="inlineStr"/>
      <c r="K13" s="18" t="inlineStr">
        <is>
          <t>有</t>
        </is>
      </c>
      <c r="L13" s="18" t="inlineStr"/>
      <c r="M13" s="18" t="inlineStr"/>
      <c r="N13" s="18" t="inlineStr"/>
      <c r="O13" s="18" t="inlineStr"/>
      <c r="P13" s="18" t="inlineStr"/>
      <c r="Q13" s="18" t="inlineStr"/>
      <c r="R13" s="18" t="inlineStr">
        <is>
          <t>日数</t>
        </is>
      </c>
      <c r="S13" s="18" t="n">
        <v>2</v>
      </c>
      <c r="T13" s="18" t="n">
        <v>10</v>
      </c>
      <c r="U13" s="18" t="inlineStr"/>
      <c r="V13" s="18" t="inlineStr">
        <is>
          <t>紙・MJS賃金データ</t>
        </is>
      </c>
      <c r="W13" s="18" t="inlineStr">
        <is>
          <t>本人希望時／59歳以上は必須</t>
        </is>
      </c>
      <c r="X13" s="8">
        <f>AND($B13&lt;&gt;"",入力区分&lt;&gt;"",OR($D13="両方",$D13=入力区分),OR($E13="",$E13=条件_社保),OR($F13="",$F13=条件_雇保),OR($G13="",$G13=条件_外国籍),OR($H13="",$H13=条件_特定技能),OR($I13="",$I13=条件_扶養),OR($J13="",$J13=条件_70歳以上),OR($K13="",$K13=条件_離職票要),OR($L13="",$L13=条件_特徴),OR($M13="",$M13=条件_共済),OR($N13="",$N13=条件_役職),OR($O13="",$O13=条件_退職金),OR($P13="",$P13=条件_障害者),OR($Q13="",$Q13=条件_解雇))</f>
        <v/>
      </c>
      <c r="Y13" s="8">
        <f>IF($X13,COUNTIF($X$5:$X13,TRUE),"")</f>
        <v/>
      </c>
      <c r="Z13" s="29">
        <f>IF(NOT($X13),"",IF($R13="文言",$U13,IF(入力基準日="","基準日を入力",IF($R13="日数",入力基準日+$S13+$T13-1,IF($R13="翌月10日",EOMONTH(入力基準日,0)+10,IF($R13="翌月末",EOMONTH(入力基準日,1),IF($R13="1か月後",EDATE(入力基準日,1),$U13)))))))</f>
        <v/>
      </c>
    </row>
    <row r="14">
      <c r="A14" s="18" t="n">
        <v>10</v>
      </c>
      <c r="B14" s="18" t="inlineStr">
        <is>
          <t>外国人雇用状況届出（雇保加入者）</t>
        </is>
      </c>
      <c r="C14" s="18" t="inlineStr">
        <is>
          <t>ハローワーク</t>
        </is>
      </c>
      <c r="D14" s="18" t="inlineStr">
        <is>
          <t>両方</t>
        </is>
      </c>
      <c r="E14" s="18" t="inlineStr"/>
      <c r="F14" s="18" t="inlineStr">
        <is>
          <t>有</t>
        </is>
      </c>
      <c r="G14" s="18" t="inlineStr">
        <is>
          <t>有</t>
        </is>
      </c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>
        <is>
          <t>文言</t>
        </is>
      </c>
      <c r="S14" s="18" t="inlineStr"/>
      <c r="T14" s="18" t="inlineStr"/>
      <c r="U14" s="18" t="inlineStr">
        <is>
          <t>取得届・喪失届と同時</t>
        </is>
      </c>
      <c r="V14" s="18" t="inlineStr">
        <is>
          <t>取得届・喪失届の外国人欄</t>
        </is>
      </c>
      <c r="W14" s="18" t="inlineStr">
        <is>
          <t>特別永住者は対象外</t>
        </is>
      </c>
      <c r="X14" s="8">
        <f>AND($B14&lt;&gt;"",入力区分&lt;&gt;"",OR($D14="両方",$D14=入力区分),OR($E14="",$E14=条件_社保),OR($F14="",$F14=条件_雇保),OR($G14="",$G14=条件_外国籍),OR($H14="",$H14=条件_特定技能),OR($I14="",$I14=条件_扶養),OR($J14="",$J14=条件_70歳以上),OR($K14="",$K14=条件_離職票要),OR($L14="",$L14=条件_特徴),OR($M14="",$M14=条件_共済),OR($N14="",$N14=条件_役職),OR($O14="",$O14=条件_退職金),OR($P14="",$P14=条件_障害者),OR($Q14="",$Q14=条件_解雇))</f>
        <v/>
      </c>
      <c r="Y14" s="8">
        <f>IF($X14,COUNTIF($X$5:$X14,TRUE),"")</f>
        <v/>
      </c>
      <c r="Z14" s="29">
        <f>IF(NOT($X14),"",IF($R14="文言",$U14,IF(入力基準日="","基準日を入力",IF($R14="日数",入力基準日+$S14+$T14-1,IF($R14="翌月10日",EOMONTH(入力基準日,0)+10,IF($R14="翌月末",EOMONTH(入力基準日,1),IF($R14="1か月後",EDATE(入力基準日,1),$U14)))))))</f>
        <v/>
      </c>
    </row>
    <row r="15">
      <c r="A15" s="18" t="n">
        <v>11</v>
      </c>
      <c r="B15" s="18" t="inlineStr">
        <is>
          <t>外国人雇用状況届出（雇保非加入者）</t>
        </is>
      </c>
      <c r="C15" s="18" t="inlineStr">
        <is>
          <t>ハローワーク</t>
        </is>
      </c>
      <c r="D15" s="18" t="inlineStr">
        <is>
          <t>両方</t>
        </is>
      </c>
      <c r="E15" s="18" t="inlineStr"/>
      <c r="F15" s="18" t="inlineStr">
        <is>
          <t>無</t>
        </is>
      </c>
      <c r="G15" s="18" t="inlineStr">
        <is>
          <t>有</t>
        </is>
      </c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>
        <is>
          <t>翌月末</t>
        </is>
      </c>
      <c r="S15" s="18" t="inlineStr"/>
      <c r="T15" s="18" t="inlineStr"/>
      <c r="U15" s="18" t="inlineStr"/>
      <c r="V15" s="18" t="inlineStr">
        <is>
          <t>外国人雇用状況届出（Web）</t>
        </is>
      </c>
      <c r="W15" s="18" t="inlineStr">
        <is>
          <t>特別永住者は対象外</t>
        </is>
      </c>
      <c r="X15" s="8">
        <f>AND($B15&lt;&gt;"",入力区分&lt;&gt;"",OR($D15="両方",$D15=入力区分),OR($E15="",$E15=条件_社保),OR($F15="",$F15=条件_雇保),OR($G15="",$G15=条件_外国籍),OR($H15="",$H15=条件_特定技能),OR($I15="",$I15=条件_扶養),OR($J15="",$J15=条件_70歳以上),OR($K15="",$K15=条件_離職票要),OR($L15="",$L15=条件_特徴),OR($M15="",$M15=条件_共済),OR($N15="",$N15=条件_役職),OR($O15="",$O15=条件_退職金),OR($P15="",$P15=条件_障害者),OR($Q15="",$Q15=条件_解雇))</f>
        <v/>
      </c>
      <c r="Y15" s="8">
        <f>IF($X15,COUNTIF($X$5:$X15,TRUE),"")</f>
        <v/>
      </c>
      <c r="Z15" s="29">
        <f>IF(NOT($X15),"",IF($R15="文言",$U15,IF(入力基準日="","基準日を入力",IF($R15="日数",入力基準日+$S15+$T15-1,IF($R15="翌月10日",EOMONTH(入力基準日,0)+10,IF($R15="翌月末",EOMONTH(入力基準日,1),IF($R15="1か月後",EDATE(入力基準日,1),$U15)))))))</f>
        <v/>
      </c>
    </row>
    <row r="16">
      <c r="A16" s="18" t="n">
        <v>12</v>
      </c>
      <c r="B16" s="18" t="inlineStr">
        <is>
          <t>特定技能雇用契約に係る届出（締結）</t>
        </is>
      </c>
      <c r="C16" s="18" t="inlineStr">
        <is>
          <t>出入国在留管理局</t>
        </is>
      </c>
      <c r="D16" s="18" t="inlineStr">
        <is>
          <t>採用</t>
        </is>
      </c>
      <c r="E16" s="18" t="inlineStr"/>
      <c r="F16" s="18" t="inlineStr"/>
      <c r="G16" s="18" t="inlineStr"/>
      <c r="H16" s="18" t="inlineStr">
        <is>
          <t>有</t>
        </is>
      </c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>
        <is>
          <t>日数</t>
        </is>
      </c>
      <c r="S16" s="18" t="n">
        <v>0</v>
      </c>
      <c r="T16" s="18" t="n">
        <v>14</v>
      </c>
      <c r="U16" s="18" t="inlineStr"/>
      <c r="V16" s="18" t="inlineStr">
        <is>
          <t>参考様式（Excel）</t>
        </is>
      </c>
      <c r="W16" s="18" t="inlineStr">
        <is>
          <t>在留資格変更許可申請で足りる場合あり。要否を確認</t>
        </is>
      </c>
      <c r="X16" s="8">
        <f>AND($B16&lt;&gt;"",入力区分&lt;&gt;"",OR($D16="両方",$D16=入力区分),OR($E16="",$E16=条件_社保),OR($F16="",$F16=条件_雇保),OR($G16="",$G16=条件_外国籍),OR($H16="",$H16=条件_特定技能),OR($I16="",$I16=条件_扶養),OR($J16="",$J16=条件_70歳以上),OR($K16="",$K16=条件_離職票要),OR($L16="",$L16=条件_特徴),OR($M16="",$M16=条件_共済),OR($N16="",$N16=条件_役職),OR($O16="",$O16=条件_退職金),OR($P16="",$P16=条件_障害者),OR($Q16="",$Q16=条件_解雇))</f>
        <v/>
      </c>
      <c r="Y16" s="8">
        <f>IF($X16,COUNTIF($X$5:$X16,TRUE),"")</f>
        <v/>
      </c>
      <c r="Z16" s="29">
        <f>IF(NOT($X16),"",IF($R16="文言",$U16,IF(入力基準日="","基準日を入力",IF($R16="日数",入力基準日+$S16+$T16-1,IF($R16="翌月10日",EOMONTH(入力基準日,0)+10,IF($R16="翌月末",EOMONTH(入力基準日,1),IF($R16="1か月後",EDATE(入力基準日,1),$U16)))))))</f>
        <v/>
      </c>
    </row>
    <row r="17">
      <c r="A17" s="18" t="n">
        <v>13</v>
      </c>
      <c r="B17" s="18" t="inlineStr">
        <is>
          <t>特定技能雇用契約に係る届出（終了）</t>
        </is>
      </c>
      <c r="C17" s="18" t="inlineStr">
        <is>
          <t>出入国在留管理局</t>
        </is>
      </c>
      <c r="D17" s="18" t="inlineStr">
        <is>
          <t>退職</t>
        </is>
      </c>
      <c r="E17" s="18" t="inlineStr"/>
      <c r="F17" s="18" t="inlineStr"/>
      <c r="G17" s="18" t="inlineStr"/>
      <c r="H17" s="18" t="inlineStr">
        <is>
          <t>有</t>
        </is>
      </c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>
        <is>
          <t>日数</t>
        </is>
      </c>
      <c r="S17" s="18" t="n">
        <v>0</v>
      </c>
      <c r="T17" s="18" t="n">
        <v>14</v>
      </c>
      <c r="U17" s="18" t="inlineStr"/>
      <c r="V17" s="18" t="inlineStr">
        <is>
          <t>参考様式（Excel）</t>
        </is>
      </c>
      <c r="W17" s="18" t="inlineStr"/>
      <c r="X17" s="8">
        <f>AND($B17&lt;&gt;"",入力区分&lt;&gt;"",OR($D17="両方",$D17=入力区分),OR($E17="",$E17=条件_社保),OR($F17="",$F17=条件_雇保),OR($G17="",$G17=条件_外国籍),OR($H17="",$H17=条件_特定技能),OR($I17="",$I17=条件_扶養),OR($J17="",$J17=条件_70歳以上),OR($K17="",$K17=条件_離職票要),OR($L17="",$L17=条件_特徴),OR($M17="",$M17=条件_共済),OR($N17="",$N17=条件_役職),OR($O17="",$O17=条件_退職金),OR($P17="",$P17=条件_障害者),OR($Q17="",$Q17=条件_解雇))</f>
        <v/>
      </c>
      <c r="Y17" s="8">
        <f>IF($X17,COUNTIF($X$5:$X17,TRUE),"")</f>
        <v/>
      </c>
      <c r="Z17" s="29">
        <f>IF(NOT($X17),"",IF($R17="文言",$U17,IF(入力基準日="","基準日を入力",IF($R17="日数",入力基準日+$S17+$T17-1,IF($R17="翌月10日",EOMONTH(入力基準日,0)+10,IF($R17="翌月末",EOMONTH(入力基準日,1),IF($R17="1か月後",EDATE(入力基準日,1),$U17)))))))</f>
        <v/>
      </c>
    </row>
    <row r="18">
      <c r="A18" s="18" t="n">
        <v>14</v>
      </c>
      <c r="B18" s="18" t="inlineStr">
        <is>
          <t>受入れ困難に係る届出／支援計画変更届</t>
        </is>
      </c>
      <c r="C18" s="18" t="inlineStr">
        <is>
          <t>出入国在留管理局</t>
        </is>
      </c>
      <c r="D18" s="18" t="inlineStr">
        <is>
          <t>退職</t>
        </is>
      </c>
      <c r="E18" s="18" t="inlineStr"/>
      <c r="F18" s="18" t="inlineStr"/>
      <c r="G18" s="18" t="inlineStr"/>
      <c r="H18" s="18" t="inlineStr">
        <is>
          <t>有</t>
        </is>
      </c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>
        <is>
          <t>日数</t>
        </is>
      </c>
      <c r="S18" s="18" t="n">
        <v>0</v>
      </c>
      <c r="T18" s="18" t="n">
        <v>14</v>
      </c>
      <c r="U18" s="18" t="inlineStr"/>
      <c r="V18" s="18" t="inlineStr">
        <is>
          <t>参考様式（Excel）</t>
        </is>
      </c>
      <c r="W18" s="18" t="inlineStr">
        <is>
          <t>理由の記載など判断を伴う</t>
        </is>
      </c>
      <c r="X18" s="8">
        <f>AND($B18&lt;&gt;"",入力区分&lt;&gt;"",OR($D18="両方",$D18=入力区分),OR($E18="",$E18=条件_社保),OR($F18="",$F18=条件_雇保),OR($G18="",$G18=条件_外国籍),OR($H18="",$H18=条件_特定技能),OR($I18="",$I18=条件_扶養),OR($J18="",$J18=条件_70歳以上),OR($K18="",$K18=条件_離職票要),OR($L18="",$L18=条件_特徴),OR($M18="",$M18=条件_共済),OR($N18="",$N18=条件_役職),OR($O18="",$O18=条件_退職金),OR($P18="",$P18=条件_障害者),OR($Q18="",$Q18=条件_解雇))</f>
        <v/>
      </c>
      <c r="Y18" s="8">
        <f>IF($X18,COUNTIF($X$5:$X18,TRUE),"")</f>
        <v/>
      </c>
      <c r="Z18" s="29">
        <f>IF(NOT($X18),"",IF($R18="文言",$U18,IF(入力基準日="","基準日を入力",IF($R18="日数",入力基準日+$S18+$T18-1,IF($R18="翌月10日",EOMONTH(入力基準日,0)+10,IF($R18="翌月末",EOMONTH(入力基準日,1),IF($R18="1か月後",EDATE(入力基準日,1),$U18)))))))</f>
        <v/>
      </c>
    </row>
    <row r="19">
      <c r="A19" s="18" t="n">
        <v>15</v>
      </c>
      <c r="B19" s="18" t="inlineStr">
        <is>
          <t>住民税 特別徴収への切替届出</t>
        </is>
      </c>
      <c r="C19" s="18" t="inlineStr">
        <is>
          <t>市町村</t>
        </is>
      </c>
      <c r="D19" s="18" t="inlineStr">
        <is>
          <t>採用</t>
        </is>
      </c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>
        <is>
          <t>有</t>
        </is>
      </c>
      <c r="M19" s="18" t="inlineStr"/>
      <c r="N19" s="18" t="inlineStr"/>
      <c r="O19" s="18" t="inlineStr"/>
      <c r="P19" s="18" t="inlineStr"/>
      <c r="Q19" s="18" t="inlineStr"/>
      <c r="R19" s="18" t="inlineStr">
        <is>
          <t>文言</t>
        </is>
      </c>
      <c r="S19" s="18" t="inlineStr"/>
      <c r="T19" s="18" t="inlineStr"/>
      <c r="U19" s="18" t="inlineStr">
        <is>
          <t>随時（早めに）</t>
        </is>
      </c>
      <c r="V19" s="18" t="inlineStr">
        <is>
          <t>市町村の様式（紙）</t>
        </is>
      </c>
      <c r="W19" s="18" t="inlineStr">
        <is>
          <t>市町村ごとに様式が違う</t>
        </is>
      </c>
      <c r="X19" s="8">
        <f>AND($B19&lt;&gt;"",入力区分&lt;&gt;"",OR($D19="両方",$D19=入力区分),OR($E19="",$E19=条件_社保),OR($F19="",$F19=条件_雇保),OR($G19="",$G19=条件_外国籍),OR($H19="",$H19=条件_特定技能),OR($I19="",$I19=条件_扶養),OR($J19="",$J19=条件_70歳以上),OR($K19="",$K19=条件_離職票要),OR($L19="",$L19=条件_特徴),OR($M19="",$M19=条件_共済),OR($N19="",$N19=条件_役職),OR($O19="",$O19=条件_退職金),OR($P19="",$P19=条件_障害者),OR($Q19="",$Q19=条件_解雇))</f>
        <v/>
      </c>
      <c r="Y19" s="8">
        <f>IF($X19,COUNTIF($X$5:$X19,TRUE),"")</f>
        <v/>
      </c>
      <c r="Z19" s="29">
        <f>IF(NOT($X19),"",IF($R19="文言",$U19,IF(入力基準日="","基準日を入力",IF($R19="日数",入力基準日+$S19+$T19-1,IF($R19="翌月10日",EOMONTH(入力基準日,0)+10,IF($R19="翌月末",EOMONTH(入力基準日,1),IF($R19="1か月後",EDATE(入力基準日,1),$U19)))))))</f>
        <v/>
      </c>
    </row>
    <row r="20">
      <c r="A20" s="18" t="n">
        <v>16</v>
      </c>
      <c r="B20" s="18" t="inlineStr">
        <is>
          <t>給与所得者異動届出書</t>
        </is>
      </c>
      <c r="C20" s="18" t="inlineStr">
        <is>
          <t>市町村</t>
        </is>
      </c>
      <c r="D20" s="18" t="inlineStr">
        <is>
          <t>退職</t>
        </is>
      </c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>
        <is>
          <t>有</t>
        </is>
      </c>
      <c r="M20" s="18" t="inlineStr"/>
      <c r="N20" s="18" t="inlineStr"/>
      <c r="O20" s="18" t="inlineStr"/>
      <c r="P20" s="18" t="inlineStr"/>
      <c r="Q20" s="18" t="inlineStr"/>
      <c r="R20" s="18" t="inlineStr">
        <is>
          <t>翌月10日</t>
        </is>
      </c>
      <c r="S20" s="18" t="n">
        <v>0</v>
      </c>
      <c r="T20" s="18" t="inlineStr"/>
      <c r="U20" s="18" t="inlineStr"/>
      <c r="V20" s="18" t="inlineStr">
        <is>
          <t>市町村の様式／eLTAX</t>
        </is>
      </c>
      <c r="W20" s="18" t="inlineStr"/>
      <c r="X20" s="8">
        <f>AND($B20&lt;&gt;"",入力区分&lt;&gt;"",OR($D20="両方",$D20=入力区分),OR($E20="",$E20=条件_社保),OR($F20="",$F20=条件_雇保),OR($G20="",$G20=条件_外国籍),OR($H20="",$H20=条件_特定技能),OR($I20="",$I20=条件_扶養),OR($J20="",$J20=条件_70歳以上),OR($K20="",$K20=条件_離職票要),OR($L20="",$L20=条件_特徴),OR($M20="",$M20=条件_共済),OR($N20="",$N20=条件_役職),OR($O20="",$O20=条件_退職金),OR($P20="",$P20=条件_障害者),OR($Q20="",$Q20=条件_解雇))</f>
        <v/>
      </c>
      <c r="Y20" s="8">
        <f>IF($X20,COUNTIF($X$5:$X20,TRUE),"")</f>
        <v/>
      </c>
      <c r="Z20" s="29">
        <f>IF(NOT($X20),"",IF($R20="文言",$U20,IF(入力基準日="","基準日を入力",IF($R20="日数",入力基準日+$S20+$T20-1,IF($R20="翌月10日",EOMONTH(入力基準日,0)+10,IF($R20="翌月末",EOMONTH(入力基準日,1),IF($R20="1か月後",EDATE(入力基準日,1),$U20)))))))</f>
        <v/>
      </c>
    </row>
    <row r="21">
      <c r="A21" s="18" t="n">
        <v>17</v>
      </c>
      <c r="B21" s="18" t="inlineStr">
        <is>
          <t>退職手当共済 加入届</t>
        </is>
      </c>
      <c r="C21" s="18" t="inlineStr">
        <is>
          <t>福祉医療機構（WAM）</t>
        </is>
      </c>
      <c r="D21" s="18" t="inlineStr">
        <is>
          <t>採用</t>
        </is>
      </c>
      <c r="E21" s="18" t="inlineStr"/>
      <c r="F21" s="18" t="inlineStr"/>
      <c r="G21" s="18" t="inlineStr"/>
      <c r="H21" s="18" t="inlineStr"/>
      <c r="I21" s="18" t="inlineStr"/>
      <c r="J21" s="18" t="inlineStr"/>
      <c r="K21" s="18" t="inlineStr"/>
      <c r="L21" s="18" t="inlineStr"/>
      <c r="M21" s="18" t="inlineStr">
        <is>
          <t>有</t>
        </is>
      </c>
      <c r="N21" s="18" t="inlineStr"/>
      <c r="O21" s="18" t="inlineStr"/>
      <c r="P21" s="18" t="inlineStr"/>
      <c r="Q21" s="18" t="inlineStr"/>
      <c r="R21" s="18" t="inlineStr">
        <is>
          <t>文言</t>
        </is>
      </c>
      <c r="S21" s="18" t="inlineStr"/>
      <c r="T21" s="18" t="inlineStr"/>
      <c r="U21" s="18" t="inlineStr">
        <is>
          <t>共済規程で確認</t>
        </is>
      </c>
      <c r="V21" s="18" t="inlineStr">
        <is>
          <t>WAM NET電子届出</t>
        </is>
      </c>
      <c r="W21" s="18" t="inlineStr"/>
      <c r="X21" s="8">
        <f>AND($B21&lt;&gt;"",入力区分&lt;&gt;"",OR($D21="両方",$D21=入力区分),OR($E21="",$E21=条件_社保),OR($F21="",$F21=条件_雇保),OR($G21="",$G21=条件_外国籍),OR($H21="",$H21=条件_特定技能),OR($I21="",$I21=条件_扶養),OR($J21="",$J21=条件_70歳以上),OR($K21="",$K21=条件_離職票要),OR($L21="",$L21=条件_特徴),OR($M21="",$M21=条件_共済),OR($N21="",$N21=条件_役職),OR($O21="",$O21=条件_退職金),OR($P21="",$P21=条件_障害者),OR($Q21="",$Q21=条件_解雇))</f>
        <v/>
      </c>
      <c r="Y21" s="8">
        <f>IF($X21,COUNTIF($X$5:$X21,TRUE),"")</f>
        <v/>
      </c>
      <c r="Z21" s="29">
        <f>IF(NOT($X21),"",IF($R21="文言",$U21,IF(入力基準日="","基準日を入力",IF($R21="日数",入力基準日+$S21+$T21-1,IF($R21="翌月10日",EOMONTH(入力基準日,0)+10,IF($R21="翌月末",EOMONTH(入力基準日,1),IF($R21="1か月後",EDATE(入力基準日,1),$U21)))))))</f>
        <v/>
      </c>
    </row>
    <row r="22">
      <c r="A22" s="18" t="n">
        <v>18</v>
      </c>
      <c r="B22" s="18" t="inlineStr">
        <is>
          <t>退職手当共済 退職届</t>
        </is>
      </c>
      <c r="C22" s="18" t="inlineStr">
        <is>
          <t>福祉医療機構（WAM）</t>
        </is>
      </c>
      <c r="D22" s="18" t="inlineStr">
        <is>
          <t>退職</t>
        </is>
      </c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  <c r="M22" s="18" t="inlineStr">
        <is>
          <t>有</t>
        </is>
      </c>
      <c r="N22" s="18" t="inlineStr"/>
      <c r="O22" s="18" t="inlineStr"/>
      <c r="P22" s="18" t="inlineStr"/>
      <c r="Q22" s="18" t="inlineStr"/>
      <c r="R22" s="18" t="inlineStr">
        <is>
          <t>文言</t>
        </is>
      </c>
      <c r="S22" s="18" t="inlineStr"/>
      <c r="T22" s="18" t="inlineStr"/>
      <c r="U22" s="18" t="inlineStr">
        <is>
          <t>共済規程で確認</t>
        </is>
      </c>
      <c r="V22" s="18" t="inlineStr">
        <is>
          <t>WAM NET電子届出</t>
        </is>
      </c>
      <c r="W22" s="18" t="inlineStr"/>
      <c r="X22" s="8">
        <f>AND($B22&lt;&gt;"",入力区分&lt;&gt;"",OR($D22="両方",$D22=入力区分),OR($E22="",$E22=条件_社保),OR($F22="",$F22=条件_雇保),OR($G22="",$G22=条件_外国籍),OR($H22="",$H22=条件_特定技能),OR($I22="",$I22=条件_扶養),OR($J22="",$J22=条件_70歳以上),OR($K22="",$K22=条件_離職票要),OR($L22="",$L22=条件_特徴),OR($M22="",$M22=条件_共済),OR($N22="",$N22=条件_役職),OR($O22="",$O22=条件_退職金),OR($P22="",$P22=条件_障害者),OR($Q22="",$Q22=条件_解雇))</f>
        <v/>
      </c>
      <c r="Y22" s="8">
        <f>IF($X22,COUNTIF($X$5:$X22,TRUE),"")</f>
        <v/>
      </c>
      <c r="Z22" s="29">
        <f>IF(NOT($X22),"",IF($R22="文言",$U22,IF(入力基準日="","基準日を入力",IF($R22="日数",入力基準日+$S22+$T22-1,IF($R22="翌月10日",EOMONTH(入力基準日,0)+10,IF($R22="翌月末",EOMONTH(入力基準日,1),IF($R22="1か月後",EDATE(入力基準日,1),$U22)))))))</f>
        <v/>
      </c>
    </row>
    <row r="23">
      <c r="A23" s="18" t="n">
        <v>19</v>
      </c>
      <c r="B23" s="18" t="inlineStr">
        <is>
          <t>退職手当金請求書（本人へ案内）</t>
        </is>
      </c>
      <c r="C23" s="18" t="inlineStr">
        <is>
          <t>福祉医療機構（WAM）</t>
        </is>
      </c>
      <c r="D23" s="18" t="inlineStr">
        <is>
          <t>退職</t>
        </is>
      </c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>
        <is>
          <t>有</t>
        </is>
      </c>
      <c r="N23" s="18" t="inlineStr"/>
      <c r="O23" s="18" t="inlineStr"/>
      <c r="P23" s="18" t="inlineStr"/>
      <c r="Q23" s="18" t="inlineStr"/>
      <c r="R23" s="18" t="inlineStr">
        <is>
          <t>文言</t>
        </is>
      </c>
      <c r="S23" s="18" t="inlineStr"/>
      <c r="T23" s="18" t="inlineStr"/>
      <c r="U23" s="18" t="inlineStr">
        <is>
          <t>退職後（本人記入）</t>
        </is>
      </c>
      <c r="V23" s="18" t="inlineStr">
        <is>
          <t>法人証明欄を記入</t>
        </is>
      </c>
      <c r="W23" s="18" t="inlineStr">
        <is>
          <t>加入期間1年以上の人</t>
        </is>
      </c>
      <c r="X23" s="8">
        <f>AND($B23&lt;&gt;"",入力区分&lt;&gt;"",OR($D23="両方",$D23=入力区分),OR($E23="",$E23=条件_社保),OR($F23="",$F23=条件_雇保),OR($G23="",$G23=条件_外国籍),OR($H23="",$H23=条件_特定技能),OR($I23="",$I23=条件_扶養),OR($J23="",$J23=条件_70歳以上),OR($K23="",$K23=条件_離職票要),OR($L23="",$L23=条件_特徴),OR($M23="",$M23=条件_共済),OR($N23="",$N23=条件_役職),OR($O23="",$O23=条件_退職金),OR($P23="",$P23=条件_障害者),OR($Q23="",$Q23=条件_解雇))</f>
        <v/>
      </c>
      <c r="Y23" s="8">
        <f>IF($X23,COUNTIF($X$5:$X23,TRUE),"")</f>
        <v/>
      </c>
      <c r="Z23" s="29">
        <f>IF(NOT($X23),"",IF($R23="文言",$U23,IF(入力基準日="","基準日を入力",IF($R23="日数",入力基準日+$S23+$T23-1,IF($R23="翌月10日",EOMONTH(入力基準日,0)+10,IF($R23="翌月末",EOMONTH(入力基準日,1),IF($R23="1か月後",EDATE(入力基準日,1),$U23)))))))</f>
        <v/>
      </c>
    </row>
    <row r="24">
      <c r="A24" s="18" t="n">
        <v>20</v>
      </c>
      <c r="B24" s="18" t="inlineStr">
        <is>
          <t>指定権者への変更届（役職者の交代）</t>
        </is>
      </c>
      <c r="C24" s="18" t="inlineStr">
        <is>
          <t>県・市町村</t>
        </is>
      </c>
      <c r="D24" s="18" t="inlineStr">
        <is>
          <t>両方</t>
        </is>
      </c>
      <c r="E24" s="18" t="inlineStr"/>
      <c r="F24" s="18" t="inlineStr"/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>
        <is>
          <t>有</t>
        </is>
      </c>
      <c r="O24" s="18" t="inlineStr"/>
      <c r="P24" s="18" t="inlineStr"/>
      <c r="Q24" s="18" t="inlineStr"/>
      <c r="R24" s="18" t="inlineStr">
        <is>
          <t>日数</t>
        </is>
      </c>
      <c r="S24" s="18" t="n">
        <v>0</v>
      </c>
      <c r="T24" s="18" t="n">
        <v>10</v>
      </c>
      <c r="U24" s="18" t="inlineStr"/>
      <c r="V24" s="18" t="inlineStr">
        <is>
          <t>自治体の様式</t>
        </is>
      </c>
      <c r="W24" s="18" t="inlineStr">
        <is>
          <t>管理者・サビ管・サ責・介護支援専門員等</t>
        </is>
      </c>
      <c r="X24" s="8">
        <f>AND($B24&lt;&gt;"",入力区分&lt;&gt;"",OR($D24="両方",$D24=入力区分),OR($E24="",$E24=条件_社保),OR($F24="",$F24=条件_雇保),OR($G24="",$G24=条件_外国籍),OR($H24="",$H24=条件_特定技能),OR($I24="",$I24=条件_扶養),OR($J24="",$J24=条件_70歳以上),OR($K24="",$K24=条件_離職票要),OR($L24="",$L24=条件_特徴),OR($M24="",$M24=条件_共済),OR($N24="",$N24=条件_役職),OR($O24="",$O24=条件_退職金),OR($P24="",$P24=条件_障害者),OR($Q24="",$Q24=条件_解雇))</f>
        <v/>
      </c>
      <c r="Y24" s="8">
        <f>IF($X24,COUNTIF($X$5:$X24,TRUE),"")</f>
        <v/>
      </c>
      <c r="Z24" s="29">
        <f>IF(NOT($X24),"",IF($R24="文言",$U24,IF(入力基準日="","基準日を入力",IF($R24="日数",入力基準日+$S24+$T24-1,IF($R24="翌月10日",EOMONTH(入力基準日,0)+10,IF($R24="翌月末",EOMONTH(入力基準日,1),IF($R24="1か月後",EDATE(入力基準日,1),$U24)))))))</f>
        <v/>
      </c>
    </row>
    <row r="25">
      <c r="A25" s="18" t="n">
        <v>21</v>
      </c>
      <c r="B25" s="18" t="inlineStr">
        <is>
          <t>体制届（加算要件が変わる場合）</t>
        </is>
      </c>
      <c r="C25" s="18" t="inlineStr">
        <is>
          <t>県・市町村</t>
        </is>
      </c>
      <c r="D25" s="18" t="inlineStr">
        <is>
          <t>両方</t>
        </is>
      </c>
      <c r="E25" s="18" t="inlineStr"/>
      <c r="F25" s="18" t="inlineStr"/>
      <c r="G25" s="18" t="inlineStr"/>
      <c r="H25" s="18" t="inlineStr"/>
      <c r="I25" s="18" t="inlineStr"/>
      <c r="J25" s="18" t="inlineStr"/>
      <c r="K25" s="18" t="inlineStr"/>
      <c r="L25" s="18" t="inlineStr"/>
      <c r="M25" s="18" t="inlineStr"/>
      <c r="N25" s="18" t="inlineStr">
        <is>
          <t>有</t>
        </is>
      </c>
      <c r="O25" s="18" t="inlineStr"/>
      <c r="P25" s="18" t="inlineStr"/>
      <c r="Q25" s="18" t="inlineStr"/>
      <c r="R25" s="18" t="inlineStr">
        <is>
          <t>文言</t>
        </is>
      </c>
      <c r="S25" s="18" t="inlineStr"/>
      <c r="T25" s="18" t="inlineStr"/>
      <c r="U25" s="18" t="inlineStr">
        <is>
          <t>算定月の前月15日等</t>
        </is>
      </c>
      <c r="V25" s="18" t="inlineStr">
        <is>
          <t>自治体の様式</t>
        </is>
      </c>
      <c r="W25" s="18" t="inlineStr">
        <is>
          <t>人員変動で加算要件が変わるか確認</t>
        </is>
      </c>
      <c r="X25" s="8">
        <f>AND($B25&lt;&gt;"",入力区分&lt;&gt;"",OR($D25="両方",$D25=入力区分),OR($E25="",$E25=条件_社保),OR($F25="",$F25=条件_雇保),OR($G25="",$G25=条件_外国籍),OR($H25="",$H25=条件_特定技能),OR($I25="",$I25=条件_扶養),OR($J25="",$J25=条件_70歳以上),OR($K25="",$K25=条件_離職票要),OR($L25="",$L25=条件_特徴),OR($M25="",$M25=条件_共済),OR($N25="",$N25=条件_役職),OR($O25="",$O25=条件_退職金),OR($P25="",$P25=条件_障害者),OR($Q25="",$Q25=条件_解雇))</f>
        <v/>
      </c>
      <c r="Y25" s="8">
        <f>IF($X25,COUNTIF($X$5:$X25,TRUE),"")</f>
        <v/>
      </c>
      <c r="Z25" s="29">
        <f>IF(NOT($X25),"",IF($R25="文言",$U25,IF(入力基準日="","基準日を入力",IF($R25="日数",入力基準日+$S25+$T25-1,IF($R25="翌月10日",EOMONTH(入力基準日,0)+10,IF($R25="翌月末",EOMONTH(入力基準日,1),IF($R25="1か月後",EDATE(入力基準日,1),$U25)))))))</f>
        <v/>
      </c>
    </row>
    <row r="26">
      <c r="A26" s="18" t="n">
        <v>22</v>
      </c>
      <c r="B26" s="18" t="inlineStr">
        <is>
          <t>扶養控除等申告書（回収・保管）</t>
        </is>
      </c>
      <c r="C26" s="18" t="inlineStr">
        <is>
          <t>法人保管</t>
        </is>
      </c>
      <c r="D26" s="18" t="inlineStr">
        <is>
          <t>採用</t>
        </is>
      </c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  <c r="R26" s="18" t="inlineStr">
        <is>
          <t>文言</t>
        </is>
      </c>
      <c r="S26" s="18" t="inlineStr"/>
      <c r="T26" s="18" t="inlineStr"/>
      <c r="U26" s="18" t="inlineStr">
        <is>
          <t>初回給与支払まで</t>
        </is>
      </c>
      <c r="V26" s="18" t="inlineStr">
        <is>
          <t>紙</t>
        </is>
      </c>
      <c r="W26" s="18" t="inlineStr"/>
      <c r="X26" s="8">
        <f>AND($B26&lt;&gt;"",入力区分&lt;&gt;"",OR($D26="両方",$D26=入力区分),OR($E26="",$E26=条件_社保),OR($F26="",$F26=条件_雇保),OR($G26="",$G26=条件_外国籍),OR($H26="",$H26=条件_特定技能),OR($I26="",$I26=条件_扶養),OR($J26="",$J26=条件_70歳以上),OR($K26="",$K26=条件_離職票要),OR($L26="",$L26=条件_特徴),OR($M26="",$M26=条件_共済),OR($N26="",$N26=条件_役職),OR($O26="",$O26=条件_退職金),OR($P26="",$P26=条件_障害者),OR($Q26="",$Q26=条件_解雇))</f>
        <v/>
      </c>
      <c r="Y26" s="8">
        <f>IF($X26,COUNTIF($X$5:$X26,TRUE),"")</f>
        <v/>
      </c>
      <c r="Z26" s="29">
        <f>IF(NOT($X26),"",IF($R26="文言",$U26,IF(入力基準日="","基準日を入力",IF($R26="日数",入力基準日+$S26+$T26-1,IF($R26="翌月10日",EOMONTH(入力基準日,0)+10,IF($R26="翌月末",EOMONTH(入力基準日,1),IF($R26="1か月後",EDATE(入力基準日,1),$U26)))))))</f>
        <v/>
      </c>
    </row>
    <row r="27">
      <c r="A27" s="18" t="n">
        <v>23</v>
      </c>
      <c r="B27" s="18" t="inlineStr">
        <is>
          <t>給与所得の源泉徴収票（本人交付）</t>
        </is>
      </c>
      <c r="C27" s="18" t="inlineStr">
        <is>
          <t>本人</t>
        </is>
      </c>
      <c r="D27" s="18" t="inlineStr">
        <is>
          <t>退職</t>
        </is>
      </c>
      <c r="E27" s="18" t="inlineStr"/>
      <c r="F27" s="18" t="inlineStr"/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18" t="inlineStr"/>
      <c r="P27" s="18" t="inlineStr"/>
      <c r="Q27" s="18" t="inlineStr"/>
      <c r="R27" s="18" t="inlineStr">
        <is>
          <t>1か月後</t>
        </is>
      </c>
      <c r="S27" s="18" t="n">
        <v>0</v>
      </c>
      <c r="T27" s="18" t="inlineStr"/>
      <c r="U27" s="18" t="inlineStr"/>
      <c r="V27" s="18" t="inlineStr">
        <is>
          <t>給与システム</t>
        </is>
      </c>
      <c r="W27" s="18" t="inlineStr">
        <is>
          <t>退職後1か月以内</t>
        </is>
      </c>
      <c r="X27" s="8">
        <f>AND($B27&lt;&gt;"",入力区分&lt;&gt;"",OR($D27="両方",$D27=入力区分),OR($E27="",$E27=条件_社保),OR($F27="",$F27=条件_雇保),OR($G27="",$G27=条件_外国籍),OR($H27="",$H27=条件_特定技能),OR($I27="",$I27=条件_扶養),OR($J27="",$J27=条件_70歳以上),OR($K27="",$K27=条件_離職票要),OR($L27="",$L27=条件_特徴),OR($M27="",$M27=条件_共済),OR($N27="",$N27=条件_役職),OR($O27="",$O27=条件_退職金),OR($P27="",$P27=条件_障害者),OR($Q27="",$Q27=条件_解雇))</f>
        <v/>
      </c>
      <c r="Y27" s="8">
        <f>IF($X27,COUNTIF($X$5:$X27,TRUE),"")</f>
        <v/>
      </c>
      <c r="Z27" s="29">
        <f>IF(NOT($X27),"",IF($R27="文言",$U27,IF(入力基準日="","基準日を入力",IF($R27="日数",入力基準日+$S27+$T27-1,IF($R27="翌月10日",EOMONTH(入力基準日,0)+10,IF($R27="翌月末",EOMONTH(入力基準日,1),IF($R27="1か月後",EDATE(入力基準日,1),$U27)))))))</f>
        <v/>
      </c>
    </row>
    <row r="28">
      <c r="A28" s="18" t="n">
        <v>24</v>
      </c>
      <c r="B28" s="18" t="inlineStr">
        <is>
          <t>退職所得の源泉徴収票／受給に関する申告書</t>
        </is>
      </c>
      <c r="C28" s="18" t="inlineStr">
        <is>
          <t>本人・法人</t>
        </is>
      </c>
      <c r="D28" s="18" t="inlineStr">
        <is>
          <t>退職</t>
        </is>
      </c>
      <c r="E28" s="18" t="inlineStr"/>
      <c r="F28" s="18" t="inlineStr"/>
      <c r="G28" s="18" t="inlineStr"/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  <c r="O28" s="18" t="inlineStr">
        <is>
          <t>有</t>
        </is>
      </c>
      <c r="P28" s="18" t="inlineStr"/>
      <c r="Q28" s="18" t="inlineStr"/>
      <c r="R28" s="18" t="inlineStr">
        <is>
          <t>1か月後</t>
        </is>
      </c>
      <c r="S28" s="18" t="n">
        <v>0</v>
      </c>
      <c r="T28" s="18" t="inlineStr"/>
      <c r="U28" s="18" t="inlineStr"/>
      <c r="V28" s="18" t="inlineStr">
        <is>
          <t>給与システム</t>
        </is>
      </c>
      <c r="W28" s="18" t="inlineStr"/>
      <c r="X28" s="8">
        <f>AND($B28&lt;&gt;"",入力区分&lt;&gt;"",OR($D28="両方",$D28=入力区分),OR($E28="",$E28=条件_社保),OR($F28="",$F28=条件_雇保),OR($G28="",$G28=条件_外国籍),OR($H28="",$H28=条件_特定技能),OR($I28="",$I28=条件_扶養),OR($J28="",$J28=条件_70歳以上),OR($K28="",$K28=条件_離職票要),OR($L28="",$L28=条件_特徴),OR($M28="",$M28=条件_共済),OR($N28="",$N28=条件_役職),OR($O28="",$O28=条件_退職金),OR($P28="",$P28=条件_障害者),OR($Q28="",$Q28=条件_解雇))</f>
        <v/>
      </c>
      <c r="Y28" s="8">
        <f>IF($X28,COUNTIF($X$5:$X28,TRUE),"")</f>
        <v/>
      </c>
      <c r="Z28" s="29">
        <f>IF(NOT($X28),"",IF($R28="文言",$U28,IF(入力基準日="","基準日を入力",IF($R28="日数",入力基準日+$S28+$T28-1,IF($R28="翌月10日",EOMONTH(入力基準日,0)+10,IF($R28="翌月末",EOMONTH(入力基準日,1),IF($R28="1か月後",EDATE(入力基準日,1),$U28)))))))</f>
        <v/>
      </c>
    </row>
    <row r="29">
      <c r="A29" s="18" t="n">
        <v>25</v>
      </c>
      <c r="B29" s="18" t="inlineStr">
        <is>
          <t>障害者解雇届</t>
        </is>
      </c>
      <c r="C29" s="18" t="inlineStr">
        <is>
          <t>ハローワーク</t>
        </is>
      </c>
      <c r="D29" s="18" t="inlineStr">
        <is>
          <t>退職</t>
        </is>
      </c>
      <c r="E29" s="18" t="inlineStr"/>
      <c r="F29" s="18" t="inlineStr"/>
      <c r="G29" s="18" t="inlineStr"/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  <c r="O29" s="18" t="inlineStr"/>
      <c r="P29" s="18" t="inlineStr">
        <is>
          <t>有</t>
        </is>
      </c>
      <c r="Q29" s="18" t="inlineStr">
        <is>
          <t>有</t>
        </is>
      </c>
      <c r="R29" s="18" t="inlineStr">
        <is>
          <t>文言</t>
        </is>
      </c>
      <c r="S29" s="18" t="inlineStr"/>
      <c r="T29" s="18" t="inlineStr"/>
      <c r="U29" s="18" t="inlineStr">
        <is>
          <t>遅滞なく</t>
        </is>
      </c>
      <c r="V29" s="18" t="inlineStr">
        <is>
          <t>紙</t>
        </is>
      </c>
      <c r="W29" s="18" t="inlineStr"/>
      <c r="X29" s="8">
        <f>AND($B29&lt;&gt;"",入力区分&lt;&gt;"",OR($D29="両方",$D29=入力区分),OR($E29="",$E29=条件_社保),OR($F29="",$F29=条件_雇保),OR($G29="",$G29=条件_外国籍),OR($H29="",$H29=条件_特定技能),OR($I29="",$I29=条件_扶養),OR($J29="",$J29=条件_70歳以上),OR($K29="",$K29=条件_離職票要),OR($L29="",$L29=条件_特徴),OR($M29="",$M29=条件_共済),OR($N29="",$N29=条件_役職),OR($O29="",$O29=条件_退職金),OR($P29="",$P29=条件_障害者),OR($Q29="",$Q29=条件_解雇))</f>
        <v/>
      </c>
      <c r="Y29" s="8">
        <f>IF($X29,COUNTIF($X$5:$X29,TRUE),"")</f>
        <v/>
      </c>
      <c r="Z29" s="29">
        <f>IF(NOT($X29),"",IF($R29="文言",$U29,IF(入力基準日="","基準日を入力",IF($R29="日数",入力基準日+$S29+$T29-1,IF($R29="翌月10日",EOMONTH(入力基準日,0)+10,IF($R29="翌月末",EOMONTH(入力基準日,1),IF($R29="1か月後",EDATE(入力基準日,1),$U29)))))))</f>
        <v/>
      </c>
    </row>
    <row r="30">
      <c r="A30" s="18" t="n">
        <v>26</v>
      </c>
      <c r="B30" s="18" t="inlineStr">
        <is>
          <t>退職証明書（請求があれば）</t>
        </is>
      </c>
      <c r="C30" s="18" t="inlineStr">
        <is>
          <t>本人</t>
        </is>
      </c>
      <c r="D30" s="18" t="inlineStr">
        <is>
          <t>退職</t>
        </is>
      </c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8" t="inlineStr"/>
      <c r="P30" s="18" t="inlineStr"/>
      <c r="Q30" s="18" t="inlineStr"/>
      <c r="R30" s="18" t="inlineStr">
        <is>
          <t>文言</t>
        </is>
      </c>
      <c r="S30" s="18" t="inlineStr"/>
      <c r="T30" s="18" t="inlineStr"/>
      <c r="U30" s="18" t="inlineStr">
        <is>
          <t>請求があれば遅滞なく</t>
        </is>
      </c>
      <c r="V30" s="18" t="inlineStr">
        <is>
          <t>台帳から定型文書</t>
        </is>
      </c>
      <c r="W30" s="18" t="inlineStr"/>
      <c r="X30" s="8">
        <f>AND($B30&lt;&gt;"",入力区分&lt;&gt;"",OR($D30="両方",$D30=入力区分),OR($E30="",$E30=条件_社保),OR($F30="",$F30=条件_雇保),OR($G30="",$G30=条件_外国籍),OR($H30="",$H30=条件_特定技能),OR($I30="",$I30=条件_扶養),OR($J30="",$J30=条件_70歳以上),OR($K30="",$K30=条件_離職票要),OR($L30="",$L30=条件_特徴),OR($M30="",$M30=条件_共済),OR($N30="",$N30=条件_役職),OR($O30="",$O30=条件_退職金),OR($P30="",$P30=条件_障害者),OR($Q30="",$Q30=条件_解雇))</f>
        <v/>
      </c>
      <c r="Y30" s="8">
        <f>IF($X30,COUNTIF($X$5:$X30,TRUE),"")</f>
        <v/>
      </c>
      <c r="Z30" s="29">
        <f>IF(NOT($X30),"",IF($R30="文言",$U30,IF(入力基準日="","基準日を入力",IF($R30="日数",入力基準日+$S30+$T30-1,IF($R30="翌月10日",EOMONTH(入力基準日,0)+10,IF($R30="翌月末",EOMONTH(入力基準日,1),IF($R30="1か月後",EDATE(入力基準日,1),$U30)))))))</f>
        <v/>
      </c>
    </row>
    <row r="31">
      <c r="X31" s="8">
        <f>AND($B31&lt;&gt;"",入力区分&lt;&gt;"",OR($D31="両方",$D31=入力区分),OR($E31="",$E31=条件_社保),OR($F31="",$F31=条件_雇保),OR($G31="",$G31=条件_外国籍),OR($H31="",$H31=条件_特定技能),OR($I31="",$I31=条件_扶養),OR($J31="",$J31=条件_70歳以上),OR($K31="",$K31=条件_離職票要),OR($L31="",$L31=条件_特徴),OR($M31="",$M31=条件_共済),OR($N31="",$N31=条件_役職),OR($O31="",$O31=条件_退職金),OR($P31="",$P31=条件_障害者),OR($Q31="",$Q31=条件_解雇))</f>
        <v/>
      </c>
      <c r="Y31" s="8">
        <f>IF($X31,COUNTIF($X$5:$X31,TRUE),"")</f>
        <v/>
      </c>
      <c r="Z31" s="29">
        <f>IF(NOT($X31),"",IF($R31="文言",$U31,IF(入力基準日="","基準日を入力",IF($R31="日数",入力基準日+$S31+$T31-1,IF($R31="翌月10日",EOMONTH(入力基準日,0)+10,IF($R31="翌月末",EOMONTH(入力基準日,1),IF($R31="1か月後",EDATE(入力基準日,1),$U31)))))))</f>
        <v/>
      </c>
    </row>
    <row r="32">
      <c r="X32" s="8">
        <f>AND($B32&lt;&gt;"",入力区分&lt;&gt;"",OR($D32="両方",$D32=入力区分),OR($E32="",$E32=条件_社保),OR($F32="",$F32=条件_雇保),OR($G32="",$G32=条件_外国籍),OR($H32="",$H32=条件_特定技能),OR($I32="",$I32=条件_扶養),OR($J32="",$J32=条件_70歳以上),OR($K32="",$K32=条件_離職票要),OR($L32="",$L32=条件_特徴),OR($M32="",$M32=条件_共済),OR($N32="",$N32=条件_役職),OR($O32="",$O32=条件_退職金),OR($P32="",$P32=条件_障害者),OR($Q32="",$Q32=条件_解雇))</f>
        <v/>
      </c>
      <c r="Y32" s="8">
        <f>IF($X32,COUNTIF($X$5:$X32,TRUE),"")</f>
        <v/>
      </c>
      <c r="Z32" s="29">
        <f>IF(NOT($X32),"",IF($R32="文言",$U32,IF(入力基準日="","基準日を入力",IF($R32="日数",入力基準日+$S32+$T32-1,IF($R32="翌月10日",EOMONTH(入力基準日,0)+10,IF($R32="翌月末",EOMONTH(入力基準日,1),IF($R32="1か月後",EDATE(入力基準日,1),$U32)))))))</f>
        <v/>
      </c>
    </row>
    <row r="33">
      <c r="X33" s="8">
        <f>AND($B33&lt;&gt;"",入力区分&lt;&gt;"",OR($D33="両方",$D33=入力区分),OR($E33="",$E33=条件_社保),OR($F33="",$F33=条件_雇保),OR($G33="",$G33=条件_外国籍),OR($H33="",$H33=条件_特定技能),OR($I33="",$I33=条件_扶養),OR($J33="",$J33=条件_70歳以上),OR($K33="",$K33=条件_離職票要),OR($L33="",$L33=条件_特徴),OR($M33="",$M33=条件_共済),OR($N33="",$N33=条件_役職),OR($O33="",$O33=条件_退職金),OR($P33="",$P33=条件_障害者),OR($Q33="",$Q33=条件_解雇))</f>
        <v/>
      </c>
      <c r="Y33" s="8">
        <f>IF($X33,COUNTIF($X$5:$X33,TRUE),"")</f>
        <v/>
      </c>
      <c r="Z33" s="29">
        <f>IF(NOT($X33),"",IF($R33="文言",$U33,IF(入力基準日="","基準日を入力",IF($R33="日数",入力基準日+$S33+$T33-1,IF($R33="翌月10日",EOMONTH(入力基準日,0)+10,IF($R33="翌月末",EOMONTH(入力基準日,1),IF($R33="1か月後",EDATE(入力基準日,1),$U33)))))))</f>
        <v/>
      </c>
    </row>
    <row r="34">
      <c r="X34" s="8">
        <f>AND($B34&lt;&gt;"",入力区分&lt;&gt;"",OR($D34="両方",$D34=入力区分),OR($E34="",$E34=条件_社保),OR($F34="",$F34=条件_雇保),OR($G34="",$G34=条件_外国籍),OR($H34="",$H34=条件_特定技能),OR($I34="",$I34=条件_扶養),OR($J34="",$J34=条件_70歳以上),OR($K34="",$K34=条件_離職票要),OR($L34="",$L34=条件_特徴),OR($M34="",$M34=条件_共済),OR($N34="",$N34=条件_役職),OR($O34="",$O34=条件_退職金),OR($P34="",$P34=条件_障害者),OR($Q34="",$Q34=条件_解雇))</f>
        <v/>
      </c>
      <c r="Y34" s="8">
        <f>IF($X34,COUNTIF($X$5:$X34,TRUE),"")</f>
        <v/>
      </c>
      <c r="Z34" s="29">
        <f>IF(NOT($X34),"",IF($R34="文言",$U34,IF(入力基準日="","基準日を入力",IF($R34="日数",入力基準日+$S34+$T34-1,IF($R34="翌月10日",EOMONTH(入力基準日,0)+10,IF($R34="翌月末",EOMONTH(入力基準日,1),IF($R34="1か月後",EDATE(入力基準日,1),$U34)))))))</f>
        <v/>
      </c>
    </row>
    <row r="35">
      <c r="X35" s="8">
        <f>AND($B35&lt;&gt;"",入力区分&lt;&gt;"",OR($D35="両方",$D35=入力区分),OR($E35="",$E35=条件_社保),OR($F35="",$F35=条件_雇保),OR($G35="",$G35=条件_外国籍),OR($H35="",$H35=条件_特定技能),OR($I35="",$I35=条件_扶養),OR($J35="",$J35=条件_70歳以上),OR($K35="",$K35=条件_離職票要),OR($L35="",$L35=条件_特徴),OR($M35="",$M35=条件_共済),OR($N35="",$N35=条件_役職),OR($O35="",$O35=条件_退職金),OR($P35="",$P35=条件_障害者),OR($Q35="",$Q35=条件_解雇))</f>
        <v/>
      </c>
      <c r="Y35" s="8">
        <f>IF($X35,COUNTIF($X$5:$X35,TRUE),"")</f>
        <v/>
      </c>
      <c r="Z35" s="29">
        <f>IF(NOT($X35),"",IF($R35="文言",$U35,IF(入力基準日="","基準日を入力",IF($R35="日数",入力基準日+$S35+$T35-1,IF($R35="翌月10日",EOMONTH(入力基準日,0)+10,IF($R35="翌月末",EOMONTH(入力基準日,1),IF($R35="1か月後",EDATE(入力基準日,1),$U35)))))))</f>
        <v/>
      </c>
    </row>
    <row r="36">
      <c r="X36" s="8">
        <f>AND($B36&lt;&gt;"",入力区分&lt;&gt;"",OR($D36="両方",$D36=入力区分),OR($E36="",$E36=条件_社保),OR($F36="",$F36=条件_雇保),OR($G36="",$G36=条件_外国籍),OR($H36="",$H36=条件_特定技能),OR($I36="",$I36=条件_扶養),OR($J36="",$J36=条件_70歳以上),OR($K36="",$K36=条件_離職票要),OR($L36="",$L36=条件_特徴),OR($M36="",$M36=条件_共済),OR($N36="",$N36=条件_役職),OR($O36="",$O36=条件_退職金),OR($P36="",$P36=条件_障害者),OR($Q36="",$Q36=条件_解雇))</f>
        <v/>
      </c>
      <c r="Y36" s="8">
        <f>IF($X36,COUNTIF($X$5:$X36,TRUE),"")</f>
        <v/>
      </c>
      <c r="Z36" s="29">
        <f>IF(NOT($X36),"",IF($R36="文言",$U36,IF(入力基準日="","基準日を入力",IF($R36="日数",入力基準日+$S36+$T36-1,IF($R36="翌月10日",EOMONTH(入力基準日,0)+10,IF($R36="翌月末",EOMONTH(入力基準日,1),IF($R36="1か月後",EDATE(入力基準日,1),$U36)))))))</f>
        <v/>
      </c>
    </row>
    <row r="37">
      <c r="X37" s="8">
        <f>AND($B37&lt;&gt;"",入力区分&lt;&gt;"",OR($D37="両方",$D37=入力区分),OR($E37="",$E37=条件_社保),OR($F37="",$F37=条件_雇保),OR($G37="",$G37=条件_外国籍),OR($H37="",$H37=条件_特定技能),OR($I37="",$I37=条件_扶養),OR($J37="",$J37=条件_70歳以上),OR($K37="",$K37=条件_離職票要),OR($L37="",$L37=条件_特徴),OR($M37="",$M37=条件_共済),OR($N37="",$N37=条件_役職),OR($O37="",$O37=条件_退職金),OR($P37="",$P37=条件_障害者),OR($Q37="",$Q37=条件_解雇))</f>
        <v/>
      </c>
      <c r="Y37" s="8">
        <f>IF($X37,COUNTIF($X$5:$X37,TRUE),"")</f>
        <v/>
      </c>
      <c r="Z37" s="29">
        <f>IF(NOT($X37),"",IF($R37="文言",$U37,IF(入力基準日="","基準日を入力",IF($R37="日数",入力基準日+$S37+$T37-1,IF($R37="翌月10日",EOMONTH(入力基準日,0)+10,IF($R37="翌月末",EOMONTH(入力基準日,1),IF($R37="1か月後",EDATE(入力基準日,1),$U37)))))))</f>
        <v/>
      </c>
    </row>
    <row r="38">
      <c r="X38" s="8">
        <f>AND($B38&lt;&gt;"",入力区分&lt;&gt;"",OR($D38="両方",$D38=入力区分),OR($E38="",$E38=条件_社保),OR($F38="",$F38=条件_雇保),OR($G38="",$G38=条件_外国籍),OR($H38="",$H38=条件_特定技能),OR($I38="",$I38=条件_扶養),OR($J38="",$J38=条件_70歳以上),OR($K38="",$K38=条件_離職票要),OR($L38="",$L38=条件_特徴),OR($M38="",$M38=条件_共済),OR($N38="",$N38=条件_役職),OR($O38="",$O38=条件_退職金),OR($P38="",$P38=条件_障害者),OR($Q38="",$Q38=条件_解雇))</f>
        <v/>
      </c>
      <c r="Y38" s="8">
        <f>IF($X38,COUNTIF($X$5:$X38,TRUE),"")</f>
        <v/>
      </c>
      <c r="Z38" s="29">
        <f>IF(NOT($X38),"",IF($R38="文言",$U38,IF(入力基準日="","基準日を入力",IF($R38="日数",入力基準日+$S38+$T38-1,IF($R38="翌月10日",EOMONTH(入力基準日,0)+10,IF($R38="翌月末",EOMONTH(入力基準日,1),IF($R38="1か月後",EDATE(入力基準日,1),$U38)))))))</f>
        <v/>
      </c>
    </row>
    <row r="39">
      <c r="X39" s="8">
        <f>AND($B39&lt;&gt;"",入力区分&lt;&gt;"",OR($D39="両方",$D39=入力区分),OR($E39="",$E39=条件_社保),OR($F39="",$F39=条件_雇保),OR($G39="",$G39=条件_外国籍),OR($H39="",$H39=条件_特定技能),OR($I39="",$I39=条件_扶養),OR($J39="",$J39=条件_70歳以上),OR($K39="",$K39=条件_離職票要),OR($L39="",$L39=条件_特徴),OR($M39="",$M39=条件_共済),OR($N39="",$N39=条件_役職),OR($O39="",$O39=条件_退職金),OR($P39="",$P39=条件_障害者),OR($Q39="",$Q39=条件_解雇))</f>
        <v/>
      </c>
      <c r="Y39" s="8">
        <f>IF($X39,COUNTIF($X$5:$X39,TRUE),"")</f>
        <v/>
      </c>
      <c r="Z39" s="29">
        <f>IF(NOT($X39),"",IF($R39="文言",$U39,IF(入力基準日="","基準日を入力",IF($R39="日数",入力基準日+$S39+$T39-1,IF($R39="翌月10日",EOMONTH(入力基準日,0)+10,IF($R39="翌月末",EOMONTH(入力基準日,1),IF($R39="1か月後",EDATE(入力基準日,1),$U39)))))))</f>
        <v/>
      </c>
    </row>
    <row r="40">
      <c r="X40" s="8">
        <f>AND($B40&lt;&gt;"",入力区分&lt;&gt;"",OR($D40="両方",$D40=入力区分),OR($E40="",$E40=条件_社保),OR($F40="",$F40=条件_雇保),OR($G40="",$G40=条件_外国籍),OR($H40="",$H40=条件_特定技能),OR($I40="",$I40=条件_扶養),OR($J40="",$J40=条件_70歳以上),OR($K40="",$K40=条件_離職票要),OR($L40="",$L40=条件_特徴),OR($M40="",$M40=条件_共済),OR($N40="",$N40=条件_役職),OR($O40="",$O40=条件_退職金),OR($P40="",$P40=条件_障害者),OR($Q40="",$Q40=条件_解雇))</f>
        <v/>
      </c>
      <c r="Y40" s="8">
        <f>IF($X40,COUNTIF($X$5:$X40,TRUE),"")</f>
        <v/>
      </c>
      <c r="Z40" s="29">
        <f>IF(NOT($X40),"",IF($R40="文言",$U40,IF(入力基準日="","基準日を入力",IF($R40="日数",入力基準日+$S40+$T40-1,IF($R40="翌月10日",EOMONTH(入力基準日,0)+10,IF($R40="翌月末",EOMONTH(入力基準日,1),IF($R40="1か月後",EDATE(入力基準日,1),$U40)))))))</f>
        <v/>
      </c>
    </row>
    <row r="41">
      <c r="X41" s="8">
        <f>AND($B41&lt;&gt;"",入力区分&lt;&gt;"",OR($D41="両方",$D41=入力区分),OR($E41="",$E41=条件_社保),OR($F41="",$F41=条件_雇保),OR($G41="",$G41=条件_外国籍),OR($H41="",$H41=条件_特定技能),OR($I41="",$I41=条件_扶養),OR($J41="",$J41=条件_70歳以上),OR($K41="",$K41=条件_離職票要),OR($L41="",$L41=条件_特徴),OR($M41="",$M41=条件_共済),OR($N41="",$N41=条件_役職),OR($O41="",$O41=条件_退職金),OR($P41="",$P41=条件_障害者),OR($Q41="",$Q41=条件_解雇))</f>
        <v/>
      </c>
      <c r="Y41" s="8">
        <f>IF($X41,COUNTIF($X$5:$X41,TRUE),"")</f>
        <v/>
      </c>
      <c r="Z41" s="29">
        <f>IF(NOT($X41),"",IF($R41="文言",$U41,IF(入力基準日="","基準日を入力",IF($R41="日数",入力基準日+$S41+$T41-1,IF($R41="翌月10日",EOMONTH(入力基準日,0)+10,IF($R41="翌月末",EOMONTH(入力基準日,1),IF($R41="1か月後",EDATE(入力基準日,1),$U41)))))))</f>
        <v/>
      </c>
    </row>
    <row r="42">
      <c r="X42" s="8">
        <f>AND($B42&lt;&gt;"",入力区分&lt;&gt;"",OR($D42="両方",$D42=入力区分),OR($E42="",$E42=条件_社保),OR($F42="",$F42=条件_雇保),OR($G42="",$G42=条件_外国籍),OR($H42="",$H42=条件_特定技能),OR($I42="",$I42=条件_扶養),OR($J42="",$J42=条件_70歳以上),OR($K42="",$K42=条件_離職票要),OR($L42="",$L42=条件_特徴),OR($M42="",$M42=条件_共済),OR($N42="",$N42=条件_役職),OR($O42="",$O42=条件_退職金),OR($P42="",$P42=条件_障害者),OR($Q42="",$Q42=条件_解雇))</f>
        <v/>
      </c>
      <c r="Y42" s="8">
        <f>IF($X42,COUNTIF($X$5:$X42,TRUE),"")</f>
        <v/>
      </c>
      <c r="Z42" s="29">
        <f>IF(NOT($X42),"",IF($R42="文言",$U42,IF(入力基準日="","基準日を入力",IF($R42="日数",入力基準日+$S42+$T42-1,IF($R42="翌月10日",EOMONTH(入力基準日,0)+10,IF($R42="翌月末",EOMONTH(入力基準日,1),IF($R42="1か月後",EDATE(入力基準日,1),$U42)))))))</f>
        <v/>
      </c>
    </row>
    <row r="43">
      <c r="X43" s="8">
        <f>AND($B43&lt;&gt;"",入力区分&lt;&gt;"",OR($D43="両方",$D43=入力区分),OR($E43="",$E43=条件_社保),OR($F43="",$F43=条件_雇保),OR($G43="",$G43=条件_外国籍),OR($H43="",$H43=条件_特定技能),OR($I43="",$I43=条件_扶養),OR($J43="",$J43=条件_70歳以上),OR($K43="",$K43=条件_離職票要),OR($L43="",$L43=条件_特徴),OR($M43="",$M43=条件_共済),OR($N43="",$N43=条件_役職),OR($O43="",$O43=条件_退職金),OR($P43="",$P43=条件_障害者),OR($Q43="",$Q43=条件_解雇))</f>
        <v/>
      </c>
      <c r="Y43" s="8">
        <f>IF($X43,COUNTIF($X$5:$X43,TRUE),"")</f>
        <v/>
      </c>
      <c r="Z43" s="29">
        <f>IF(NOT($X43),"",IF($R43="文言",$U43,IF(入力基準日="","基準日を入力",IF($R43="日数",入力基準日+$S43+$T43-1,IF($R43="翌月10日",EOMONTH(入力基準日,0)+10,IF($R43="翌月末",EOMONTH(入力基準日,1),IF($R43="1か月後",EDATE(入力基準日,1),$U43)))))))</f>
        <v/>
      </c>
    </row>
    <row r="44">
      <c r="X44" s="8">
        <f>AND($B44&lt;&gt;"",入力区分&lt;&gt;"",OR($D44="両方",$D44=入力区分),OR($E44="",$E44=条件_社保),OR($F44="",$F44=条件_雇保),OR($G44="",$G44=条件_外国籍),OR($H44="",$H44=条件_特定技能),OR($I44="",$I44=条件_扶養),OR($J44="",$J44=条件_70歳以上),OR($K44="",$K44=条件_離職票要),OR($L44="",$L44=条件_特徴),OR($M44="",$M44=条件_共済),OR($N44="",$N44=条件_役職),OR($O44="",$O44=条件_退職金),OR($P44="",$P44=条件_障害者),OR($Q44="",$Q44=条件_解雇))</f>
        <v/>
      </c>
      <c r="Y44" s="8">
        <f>IF($X44,COUNTIF($X$5:$X44,TRUE),"")</f>
        <v/>
      </c>
      <c r="Z44" s="29">
        <f>IF(NOT($X44),"",IF($R44="文言",$U44,IF(入力基準日="","基準日を入力",IF($R44="日数",入力基準日+$S44+$T44-1,IF($R44="翌月10日",EOMONTH(入力基準日,0)+10,IF($R44="翌月末",EOMONTH(入力基準日,1),IF($R44="1か月後",EDATE(入力基準日,1),$U44)))))))</f>
        <v/>
      </c>
    </row>
    <row r="45">
      <c r="X45" s="8">
        <f>AND($B45&lt;&gt;"",入力区分&lt;&gt;"",OR($D45="両方",$D45=入力区分),OR($E45="",$E45=条件_社保),OR($F45="",$F45=条件_雇保),OR($G45="",$G45=条件_外国籍),OR($H45="",$H45=条件_特定技能),OR($I45="",$I45=条件_扶養),OR($J45="",$J45=条件_70歳以上),OR($K45="",$K45=条件_離職票要),OR($L45="",$L45=条件_特徴),OR($M45="",$M45=条件_共済),OR($N45="",$N45=条件_役職),OR($O45="",$O45=条件_退職金),OR($P45="",$P45=条件_障害者),OR($Q45="",$Q45=条件_解雇))</f>
        <v/>
      </c>
      <c r="Y45" s="8">
        <f>IF($X45,COUNTIF($X$5:$X45,TRUE),"")</f>
        <v/>
      </c>
      <c r="Z45" s="29">
        <f>IF(NOT($X45),"",IF($R45="文言",$U45,IF(入力基準日="","基準日を入力",IF($R45="日数",入力基準日+$S45+$T45-1,IF($R45="翌月10日",EOMONTH(入力基準日,0)+10,IF($R45="翌月末",EOMONTH(入力基準日,1),IF($R45="1か月後",EDATE(入力基準日,1),$U45)))))))</f>
        <v/>
      </c>
    </row>
    <row r="46">
      <c r="X46" s="8">
        <f>AND($B46&lt;&gt;"",入力区分&lt;&gt;"",OR($D46="両方",$D46=入力区分),OR($E46="",$E46=条件_社保),OR($F46="",$F46=条件_雇保),OR($G46="",$G46=条件_外国籍),OR($H46="",$H46=条件_特定技能),OR($I46="",$I46=条件_扶養),OR($J46="",$J46=条件_70歳以上),OR($K46="",$K46=条件_離職票要),OR($L46="",$L46=条件_特徴),OR($M46="",$M46=条件_共済),OR($N46="",$N46=条件_役職),OR($O46="",$O46=条件_退職金),OR($P46="",$P46=条件_障害者),OR($Q46="",$Q46=条件_解雇))</f>
        <v/>
      </c>
      <c r="Y46" s="8">
        <f>IF($X46,COUNTIF($X$5:$X46,TRUE),"")</f>
        <v/>
      </c>
      <c r="Z46" s="29">
        <f>IF(NOT($X46),"",IF($R46="文言",$U46,IF(入力基準日="","基準日を入力",IF($R46="日数",入力基準日+$S46+$T46-1,IF($R46="翌月10日",EOMONTH(入力基準日,0)+10,IF($R46="翌月末",EOMONTH(入力基準日,1),IF($R46="1か月後",EDATE(入力基準日,1),$U46)))))))</f>
        <v/>
      </c>
    </row>
    <row r="47">
      <c r="X47" s="8">
        <f>AND($B47&lt;&gt;"",入力区分&lt;&gt;"",OR($D47="両方",$D47=入力区分),OR($E47="",$E47=条件_社保),OR($F47="",$F47=条件_雇保),OR($G47="",$G47=条件_外国籍),OR($H47="",$H47=条件_特定技能),OR($I47="",$I47=条件_扶養),OR($J47="",$J47=条件_70歳以上),OR($K47="",$K47=条件_離職票要),OR($L47="",$L47=条件_特徴),OR($M47="",$M47=条件_共済),OR($N47="",$N47=条件_役職),OR($O47="",$O47=条件_退職金),OR($P47="",$P47=条件_障害者),OR($Q47="",$Q47=条件_解雇))</f>
        <v/>
      </c>
      <c r="Y47" s="8">
        <f>IF($X47,COUNTIF($X$5:$X47,TRUE),"")</f>
        <v/>
      </c>
      <c r="Z47" s="29">
        <f>IF(NOT($X47),"",IF($R47="文言",$U47,IF(入力基準日="","基準日を入力",IF($R47="日数",入力基準日+$S47+$T47-1,IF($R47="翌月10日",EOMONTH(入力基準日,0)+10,IF($R47="翌月末",EOMONTH(入力基準日,1),IF($R47="1か月後",EDATE(入力基準日,1),$U47)))))))</f>
        <v/>
      </c>
    </row>
    <row r="48">
      <c r="X48" s="8">
        <f>AND($B48&lt;&gt;"",入力区分&lt;&gt;"",OR($D48="両方",$D48=入力区分),OR($E48="",$E48=条件_社保),OR($F48="",$F48=条件_雇保),OR($G48="",$G48=条件_外国籍),OR($H48="",$H48=条件_特定技能),OR($I48="",$I48=条件_扶養),OR($J48="",$J48=条件_70歳以上),OR($K48="",$K48=条件_離職票要),OR($L48="",$L48=条件_特徴),OR($M48="",$M48=条件_共済),OR($N48="",$N48=条件_役職),OR($O48="",$O48=条件_退職金),OR($P48="",$P48=条件_障害者),OR($Q48="",$Q48=条件_解雇))</f>
        <v/>
      </c>
      <c r="Y48" s="8">
        <f>IF($X48,COUNTIF($X$5:$X48,TRUE),"")</f>
        <v/>
      </c>
      <c r="Z48" s="29">
        <f>IF(NOT($X48),"",IF($R48="文言",$U48,IF(入力基準日="","基準日を入力",IF($R48="日数",入力基準日+$S48+$T48-1,IF($R48="翌月10日",EOMONTH(入力基準日,0)+10,IF($R48="翌月末",EOMONTH(入力基準日,1),IF($R48="1か月後",EDATE(入力基準日,1),$U48)))))))</f>
        <v/>
      </c>
    </row>
    <row r="49">
      <c r="X49" s="8">
        <f>AND($B49&lt;&gt;"",入力区分&lt;&gt;"",OR($D49="両方",$D49=入力区分),OR($E49="",$E49=条件_社保),OR($F49="",$F49=条件_雇保),OR($G49="",$G49=条件_外国籍),OR($H49="",$H49=条件_特定技能),OR($I49="",$I49=条件_扶養),OR($J49="",$J49=条件_70歳以上),OR($K49="",$K49=条件_離職票要),OR($L49="",$L49=条件_特徴),OR($M49="",$M49=条件_共済),OR($N49="",$N49=条件_役職),OR($O49="",$O49=条件_退職金),OR($P49="",$P49=条件_障害者),OR($Q49="",$Q49=条件_解雇))</f>
        <v/>
      </c>
      <c r="Y49" s="8">
        <f>IF($X49,COUNTIF($X$5:$X49,TRUE),"")</f>
        <v/>
      </c>
      <c r="Z49" s="29">
        <f>IF(NOT($X49),"",IF($R49="文言",$U49,IF(入力基準日="","基準日を入力",IF($R49="日数",入力基準日+$S49+$T49-1,IF($R49="翌月10日",EOMONTH(入力基準日,0)+10,IF($R49="翌月末",EOMONTH(入力基準日,1),IF($R49="1か月後",EDATE(入力基準日,1),$U49)))))))</f>
        <v/>
      </c>
    </row>
    <row r="50">
      <c r="X50" s="8">
        <f>AND($B50&lt;&gt;"",入力区分&lt;&gt;"",OR($D50="両方",$D50=入力区分),OR($E50="",$E50=条件_社保),OR($F50="",$F50=条件_雇保),OR($G50="",$G50=条件_外国籍),OR($H50="",$H50=条件_特定技能),OR($I50="",$I50=条件_扶養),OR($J50="",$J50=条件_70歳以上),OR($K50="",$K50=条件_離職票要),OR($L50="",$L50=条件_特徴),OR($M50="",$M50=条件_共済),OR($N50="",$N50=条件_役職),OR($O50="",$O50=条件_退職金),OR($P50="",$P50=条件_障害者),OR($Q50="",$Q50=条件_解雇))</f>
        <v/>
      </c>
      <c r="Y50" s="8">
        <f>IF($X50,COUNTIF($X$5:$X50,TRUE),"")</f>
        <v/>
      </c>
      <c r="Z50" s="29">
        <f>IF(NOT($X50),"",IF($R50="文言",$U50,IF(入力基準日="","基準日を入力",IF($R50="日数",入力基準日+$S50+$T50-1,IF($R50="翌月10日",EOMONTH(入力基準日,0)+10,IF($R50="翌月末",EOMONTH(入力基準日,1),IF($R50="1か月後",EDATE(入力基準日,1),$U50)))))))</f>
        <v/>
      </c>
    </row>
    <row r="51">
      <c r="X51" s="8">
        <f>AND($B51&lt;&gt;"",入力区分&lt;&gt;"",OR($D51="両方",$D51=入力区分),OR($E51="",$E51=条件_社保),OR($F51="",$F51=条件_雇保),OR($G51="",$G51=条件_外国籍),OR($H51="",$H51=条件_特定技能),OR($I51="",$I51=条件_扶養),OR($J51="",$J51=条件_70歳以上),OR($K51="",$K51=条件_離職票要),OR($L51="",$L51=条件_特徴),OR($M51="",$M51=条件_共済),OR($N51="",$N51=条件_役職),OR($O51="",$O51=条件_退職金),OR($P51="",$P51=条件_障害者),OR($Q51="",$Q51=条件_解雇))</f>
        <v/>
      </c>
      <c r="Y51" s="8">
        <f>IF($X51,COUNTIF($X$5:$X51,TRUE),"")</f>
        <v/>
      </c>
      <c r="Z51" s="29">
        <f>IF(NOT($X51),"",IF($R51="文言",$U51,IF(入力基準日="","基準日を入力",IF($R51="日数",入力基準日+$S51+$T51-1,IF($R51="翌月10日",EOMONTH(入力基準日,0)+10,IF($R51="翌月末",EOMONTH(入力基準日,1),IF($R51="1か月後",EDATE(入力基準日,1),$U51)))))))</f>
        <v/>
      </c>
    </row>
    <row r="52">
      <c r="X52" s="8">
        <f>AND($B52&lt;&gt;"",入力区分&lt;&gt;"",OR($D52="両方",$D52=入力区分),OR($E52="",$E52=条件_社保),OR($F52="",$F52=条件_雇保),OR($G52="",$G52=条件_外国籍),OR($H52="",$H52=条件_特定技能),OR($I52="",$I52=条件_扶養),OR($J52="",$J52=条件_70歳以上),OR($K52="",$K52=条件_離職票要),OR($L52="",$L52=条件_特徴),OR($M52="",$M52=条件_共済),OR($N52="",$N52=条件_役職),OR($O52="",$O52=条件_退職金),OR($P52="",$P52=条件_障害者),OR($Q52="",$Q52=条件_解雇))</f>
        <v/>
      </c>
      <c r="Y52" s="8">
        <f>IF($X52,COUNTIF($X$5:$X52,TRUE),"")</f>
        <v/>
      </c>
      <c r="Z52" s="29">
        <f>IF(NOT($X52),"",IF($R52="文言",$U52,IF(入力基準日="","基準日を入力",IF($R52="日数",入力基準日+$S52+$T52-1,IF($R52="翌月10日",EOMONTH(入力基準日,0)+10,IF($R52="翌月末",EOMONTH(入力基準日,1),IF($R52="1か月後",EDATE(入力基準日,1),$U52)))))))</f>
        <v/>
      </c>
    </row>
    <row r="53">
      <c r="X53" s="8">
        <f>AND($B53&lt;&gt;"",入力区分&lt;&gt;"",OR($D53="両方",$D53=入力区分),OR($E53="",$E53=条件_社保),OR($F53="",$F53=条件_雇保),OR($G53="",$G53=条件_外国籍),OR($H53="",$H53=条件_特定技能),OR($I53="",$I53=条件_扶養),OR($J53="",$J53=条件_70歳以上),OR($K53="",$K53=条件_離職票要),OR($L53="",$L53=条件_特徴),OR($M53="",$M53=条件_共済),OR($N53="",$N53=条件_役職),OR($O53="",$O53=条件_退職金),OR($P53="",$P53=条件_障害者),OR($Q53="",$Q53=条件_解雇))</f>
        <v/>
      </c>
      <c r="Y53" s="8">
        <f>IF($X53,COUNTIF($X$5:$X53,TRUE),"")</f>
        <v/>
      </c>
      <c r="Z53" s="29">
        <f>IF(NOT($X53),"",IF($R53="文言",$U53,IF(入力基準日="","基準日を入力",IF($R53="日数",入力基準日+$S53+$T53-1,IF($R53="翌月10日",EOMONTH(入力基準日,0)+10,IF($R53="翌月末",EOMONTH(入力基準日,1),IF($R53="1か月後",EDATE(入力基準日,1),$U53)))))))</f>
        <v/>
      </c>
    </row>
    <row r="54">
      <c r="X54" s="8">
        <f>AND($B54&lt;&gt;"",入力区分&lt;&gt;"",OR($D54="両方",$D54=入力区分),OR($E54="",$E54=条件_社保),OR($F54="",$F54=条件_雇保),OR($G54="",$G54=条件_外国籍),OR($H54="",$H54=条件_特定技能),OR($I54="",$I54=条件_扶養),OR($J54="",$J54=条件_70歳以上),OR($K54="",$K54=条件_離職票要),OR($L54="",$L54=条件_特徴),OR($M54="",$M54=条件_共済),OR($N54="",$N54=条件_役職),OR($O54="",$O54=条件_退職金),OR($P54="",$P54=条件_障害者),OR($Q54="",$Q54=条件_解雇))</f>
        <v/>
      </c>
      <c r="Y54" s="8">
        <f>IF($X54,COUNTIF($X$5:$X54,TRUE),"")</f>
        <v/>
      </c>
      <c r="Z54" s="29">
        <f>IF(NOT($X54),"",IF($R54="文言",$U54,IF(入力基準日="","基準日を入力",IF($R54="日数",入力基準日+$S54+$T54-1,IF($R54="翌月10日",EOMONTH(入力基準日,0)+10,IF($R54="翌月末",EOMONTH(入力基準日,1),IF($R54="1か月後",EDATE(入力基準日,1),$U54)))))))</f>
        <v/>
      </c>
    </row>
    <row r="55">
      <c r="X55" s="8">
        <f>AND($B55&lt;&gt;"",入力区分&lt;&gt;"",OR($D55="両方",$D55=入力区分),OR($E55="",$E55=条件_社保),OR($F55="",$F55=条件_雇保),OR($G55="",$G55=条件_外国籍),OR($H55="",$H55=条件_特定技能),OR($I55="",$I55=条件_扶養),OR($J55="",$J55=条件_70歳以上),OR($K55="",$K55=条件_離職票要),OR($L55="",$L55=条件_特徴),OR($M55="",$M55=条件_共済),OR($N55="",$N55=条件_役職),OR($O55="",$O55=条件_退職金),OR($P55="",$P55=条件_障害者),OR($Q55="",$Q55=条件_解雇))</f>
        <v/>
      </c>
      <c r="Y55" s="8">
        <f>IF($X55,COUNTIF($X$5:$X55,TRUE),"")</f>
        <v/>
      </c>
      <c r="Z55" s="29">
        <f>IF(NOT($X55),"",IF($R55="文言",$U55,IF(入力基準日="","基準日を入力",IF($R55="日数",入力基準日+$S55+$T55-1,IF($R55="翌月10日",EOMONTH(入力基準日,0)+10,IF($R55="翌月末",EOMONTH(入力基準日,1),IF($R55="1か月後",EDATE(入力基準日,1),$U55)))))))</f>
        <v/>
      </c>
    </row>
    <row r="56">
      <c r="X56" s="8">
        <f>AND($B56&lt;&gt;"",入力区分&lt;&gt;"",OR($D56="両方",$D56=入力区分),OR($E56="",$E56=条件_社保),OR($F56="",$F56=条件_雇保),OR($G56="",$G56=条件_外国籍),OR($H56="",$H56=条件_特定技能),OR($I56="",$I56=条件_扶養),OR($J56="",$J56=条件_70歳以上),OR($K56="",$K56=条件_離職票要),OR($L56="",$L56=条件_特徴),OR($M56="",$M56=条件_共済),OR($N56="",$N56=条件_役職),OR($O56="",$O56=条件_退職金),OR($P56="",$P56=条件_障害者),OR($Q56="",$Q56=条件_解雇))</f>
        <v/>
      </c>
      <c r="Y56" s="8">
        <f>IF($X56,COUNTIF($X$5:$X56,TRUE),"")</f>
        <v/>
      </c>
      <c r="Z56" s="29">
        <f>IF(NOT($X56),"",IF($R56="文言",$U56,IF(入力基準日="","基準日を入力",IF($R56="日数",入力基準日+$S56+$T56-1,IF($R56="翌月10日",EOMONTH(入力基準日,0)+10,IF($R56="翌月末",EOMONTH(入力基準日,1),IF($R56="1か月後",EDATE(入力基準日,1),$U56)))))))</f>
        <v/>
      </c>
    </row>
    <row r="57">
      <c r="X57" s="8">
        <f>AND($B57&lt;&gt;"",入力区分&lt;&gt;"",OR($D57="両方",$D57=入力区分),OR($E57="",$E57=条件_社保),OR($F57="",$F57=条件_雇保),OR($G57="",$G57=条件_外国籍),OR($H57="",$H57=条件_特定技能),OR($I57="",$I57=条件_扶養),OR($J57="",$J57=条件_70歳以上),OR($K57="",$K57=条件_離職票要),OR($L57="",$L57=条件_特徴),OR($M57="",$M57=条件_共済),OR($N57="",$N57=条件_役職),OR($O57="",$O57=条件_退職金),OR($P57="",$P57=条件_障害者),OR($Q57="",$Q57=条件_解雇))</f>
        <v/>
      </c>
      <c r="Y57" s="8">
        <f>IF($X57,COUNTIF($X$5:$X57,TRUE),"")</f>
        <v/>
      </c>
      <c r="Z57" s="29">
        <f>IF(NOT($X57),"",IF($R57="文言",$U57,IF(入力基準日="","基準日を入力",IF($R57="日数",入力基準日+$S57+$T57-1,IF($R57="翌月10日",EOMONTH(入力基準日,0)+10,IF($R57="翌月末",EOMONTH(入力基準日,1),IF($R57="1か月後",EDATE(入力基準日,1),$U57)))))))</f>
        <v/>
      </c>
    </row>
    <row r="58">
      <c r="X58" s="8">
        <f>AND($B58&lt;&gt;"",入力区分&lt;&gt;"",OR($D58="両方",$D58=入力区分),OR($E58="",$E58=条件_社保),OR($F58="",$F58=条件_雇保),OR($G58="",$G58=条件_外国籍),OR($H58="",$H58=条件_特定技能),OR($I58="",$I58=条件_扶養),OR($J58="",$J58=条件_70歳以上),OR($K58="",$K58=条件_離職票要),OR($L58="",$L58=条件_特徴),OR($M58="",$M58=条件_共済),OR($N58="",$N58=条件_役職),OR($O58="",$O58=条件_退職金),OR($P58="",$P58=条件_障害者),OR($Q58="",$Q58=条件_解雇))</f>
        <v/>
      </c>
      <c r="Y58" s="8">
        <f>IF($X58,COUNTIF($X$5:$X58,TRUE),"")</f>
        <v/>
      </c>
      <c r="Z58" s="29">
        <f>IF(NOT($X58),"",IF($R58="文言",$U58,IF(入力基準日="","基準日を入力",IF($R58="日数",入力基準日+$S58+$T58-1,IF($R58="翌月10日",EOMONTH(入力基準日,0)+10,IF($R58="翌月末",EOMONTH(入力基準日,1),IF($R58="1か月後",EDATE(入力基準日,1),$U58)))))))</f>
        <v/>
      </c>
    </row>
    <row r="59">
      <c r="X59" s="8">
        <f>AND($B59&lt;&gt;"",入力区分&lt;&gt;"",OR($D59="両方",$D59=入力区分),OR($E59="",$E59=条件_社保),OR($F59="",$F59=条件_雇保),OR($G59="",$G59=条件_外国籍),OR($H59="",$H59=条件_特定技能),OR($I59="",$I59=条件_扶養),OR($J59="",$J59=条件_70歳以上),OR($K59="",$K59=条件_離職票要),OR($L59="",$L59=条件_特徴),OR($M59="",$M59=条件_共済),OR($N59="",$N59=条件_役職),OR($O59="",$O59=条件_退職金),OR($P59="",$P59=条件_障害者),OR($Q59="",$Q59=条件_解雇))</f>
        <v/>
      </c>
      <c r="Y59" s="8">
        <f>IF($X59,COUNTIF($X$5:$X59,TRUE),"")</f>
        <v/>
      </c>
      <c r="Z59" s="29">
        <f>IF(NOT($X59),"",IF($R59="文言",$U59,IF(入力基準日="","基準日を入力",IF($R59="日数",入力基準日+$S59+$T59-1,IF($R59="翌月10日",EOMONTH(入力基準日,0)+10,IF($R59="翌月末",EOMONTH(入力基準日,1),IF($R59="1か月後",EDATE(入力基準日,1),$U59)))))))</f>
        <v/>
      </c>
    </row>
    <row r="60">
      <c r="X60" s="8">
        <f>AND($B60&lt;&gt;"",入力区分&lt;&gt;"",OR($D60="両方",$D60=入力区分),OR($E60="",$E60=条件_社保),OR($F60="",$F60=条件_雇保),OR($G60="",$G60=条件_外国籍),OR($H60="",$H60=条件_特定技能),OR($I60="",$I60=条件_扶養),OR($J60="",$J60=条件_70歳以上),OR($K60="",$K60=条件_離職票要),OR($L60="",$L60=条件_特徴),OR($M60="",$M60=条件_共済),OR($N60="",$N60=条件_役職),OR($O60="",$O60=条件_退職金),OR($P60="",$P60=条件_障害者),OR($Q60="",$Q60=条件_解雇))</f>
        <v/>
      </c>
      <c r="Y60" s="8">
        <f>IF($X60,COUNTIF($X$5:$X60,TRUE),"")</f>
        <v/>
      </c>
      <c r="Z60" s="29">
        <f>IF(NOT($X60),"",IF($R60="文言",$U60,IF(入力基準日="","基準日を入力",IF($R60="日数",入力基準日+$S60+$T60-1,IF($R60="翌月10日",EOMONTH(入力基準日,0)+10,IF($R60="翌月末",EOMONTH(入力基準日,1),IF($R60="1か月後",EDATE(入力基準日,1),$U60)))))))</f>
        <v/>
      </c>
    </row>
    <row r="61">
      <c r="X61" s="8">
        <f>AND($B61&lt;&gt;"",入力区分&lt;&gt;"",OR($D61="両方",$D61=入力区分),OR($E61="",$E61=条件_社保),OR($F61="",$F61=条件_雇保),OR($G61="",$G61=条件_外国籍),OR($H61="",$H61=条件_特定技能),OR($I61="",$I61=条件_扶養),OR($J61="",$J61=条件_70歳以上),OR($K61="",$K61=条件_離職票要),OR($L61="",$L61=条件_特徴),OR($M61="",$M61=条件_共済),OR($N61="",$N61=条件_役職),OR($O61="",$O61=条件_退職金),OR($P61="",$P61=条件_障害者),OR($Q61="",$Q61=条件_解雇))</f>
        <v/>
      </c>
      <c r="Y61" s="8">
        <f>IF($X61,COUNTIF($X$5:$X61,TRUE),"")</f>
        <v/>
      </c>
      <c r="Z61" s="29">
        <f>IF(NOT($X61),"",IF($R61="文言",$U61,IF(入力基準日="","基準日を入力",IF($R61="日数",入力基準日+$S61+$T61-1,IF($R61="翌月10日",EOMONTH(入力基準日,0)+10,IF($R61="翌月末",EOMONTH(入力基準日,1),IF($R61="1か月後",EDATE(入力基準日,1),$U61)))))))</f>
        <v/>
      </c>
    </row>
    <row r="62">
      <c r="X62" s="8">
        <f>AND($B62&lt;&gt;"",入力区分&lt;&gt;"",OR($D62="両方",$D62=入力区分),OR($E62="",$E62=条件_社保),OR($F62="",$F62=条件_雇保),OR($G62="",$G62=条件_外国籍),OR($H62="",$H62=条件_特定技能),OR($I62="",$I62=条件_扶養),OR($J62="",$J62=条件_70歳以上),OR($K62="",$K62=条件_離職票要),OR($L62="",$L62=条件_特徴),OR($M62="",$M62=条件_共済),OR($N62="",$N62=条件_役職),OR($O62="",$O62=条件_退職金),OR($P62="",$P62=条件_障害者),OR($Q62="",$Q62=条件_解雇))</f>
        <v/>
      </c>
      <c r="Y62" s="8">
        <f>IF($X62,COUNTIF($X$5:$X62,TRUE),"")</f>
        <v/>
      </c>
      <c r="Z62" s="29">
        <f>IF(NOT($X62),"",IF($R62="文言",$U62,IF(入力基準日="","基準日を入力",IF($R62="日数",入力基準日+$S62+$T62-1,IF($R62="翌月10日",EOMONTH(入力基準日,0)+10,IF($R62="翌月末",EOMONTH(入力基準日,1),IF($R62="1か月後",EDATE(入力基準日,1),$U62)))))))</f>
        <v/>
      </c>
    </row>
    <row r="63">
      <c r="X63" s="8">
        <f>AND($B63&lt;&gt;"",入力区分&lt;&gt;"",OR($D63="両方",$D63=入力区分),OR($E63="",$E63=条件_社保),OR($F63="",$F63=条件_雇保),OR($G63="",$G63=条件_外国籍),OR($H63="",$H63=条件_特定技能),OR($I63="",$I63=条件_扶養),OR($J63="",$J63=条件_70歳以上),OR($K63="",$K63=条件_離職票要),OR($L63="",$L63=条件_特徴),OR($M63="",$M63=条件_共済),OR($N63="",$N63=条件_役職),OR($O63="",$O63=条件_退職金),OR($P63="",$P63=条件_障害者),OR($Q63="",$Q63=条件_解雇))</f>
        <v/>
      </c>
      <c r="Y63" s="8">
        <f>IF($X63,COUNTIF($X$5:$X63,TRUE),"")</f>
        <v/>
      </c>
      <c r="Z63" s="29">
        <f>IF(NOT($X63),"",IF($R63="文言",$U63,IF(入力基準日="","基準日を入力",IF($R63="日数",入力基準日+$S63+$T63-1,IF($R63="翌月10日",EOMONTH(入力基準日,0)+10,IF($R63="翌月末",EOMONTH(入力基準日,1),IF($R63="1か月後",EDATE(入力基準日,1),$U63)))))))</f>
        <v/>
      </c>
    </row>
    <row r="64">
      <c r="X64" s="8">
        <f>AND($B64&lt;&gt;"",入力区分&lt;&gt;"",OR($D64="両方",$D64=入力区分),OR($E64="",$E64=条件_社保),OR($F64="",$F64=条件_雇保),OR($G64="",$G64=条件_外国籍),OR($H64="",$H64=条件_特定技能),OR($I64="",$I64=条件_扶養),OR($J64="",$J64=条件_70歳以上),OR($K64="",$K64=条件_離職票要),OR($L64="",$L64=条件_特徴),OR($M64="",$M64=条件_共済),OR($N64="",$N64=条件_役職),OR($O64="",$O64=条件_退職金),OR($P64="",$P64=条件_障害者),OR($Q64="",$Q64=条件_解雇))</f>
        <v/>
      </c>
      <c r="Y64" s="8">
        <f>IF($X64,COUNTIF($X$5:$X64,TRUE),"")</f>
        <v/>
      </c>
      <c r="Z64" s="29">
        <f>IF(NOT($X64),"",IF($R64="文言",$U64,IF(入力基準日="","基準日を入力",IF($R64="日数",入力基準日+$S64+$T64-1,IF($R64="翌月10日",EOMONTH(入力基準日,0)+10,IF($R64="翌月末",EOMONTH(入力基準日,1),IF($R64="1か月後",EDATE(入力基準日,1),$U64)))))))</f>
        <v/>
      </c>
    </row>
    <row r="66">
      <c r="B66" t="inlineStr">
        <is>
          <t>加算方式：日数＝基準日＋起算＋日数−1（起算0＝基準日を1日目、1＝翌日を1日目、2＝翌々日を1日目）。安全側（早め）の日付になる</t>
        </is>
      </c>
    </row>
    <row r="67">
      <c r="B67" t="inlineStr">
        <is>
          <t xml:space="preserve">　例：社保喪失＝起算1・5日（喪失日＝退職日の翌日を1日目）／雇保喪失＝起算2・10日（喪失日の翌日から10日）</t>
        </is>
      </c>
    </row>
    <row r="68">
      <c r="B68" t="inlineStr">
        <is>
          <t>翌月10日＝基準日の翌月10日／翌月末＝基準日の翌月末日／1か月後＝基準日の1か月後／文言＝期限文言をそのまま表示</t>
        </is>
      </c>
    </row>
  </sheetData>
  <dataValidations count="3">
    <dataValidation sqref="D5:D64" showDropDown="0" showInputMessage="0" showErrorMessage="0" allowBlank="1" errorTitle="入力できない値です" error="一覧から選んでください" type="list">
      <formula1>"採用,退職,両方"</formula1>
    </dataValidation>
    <dataValidation sqref="E5:Q64" showDropDown="0" showInputMessage="0" showErrorMessage="0" allowBlank="1" errorTitle="入力できない値です" error="一覧から選んでください" type="list">
      <formula1>"有,無"</formula1>
    </dataValidation>
    <dataValidation sqref="R5:R64" showDropDown="0" showInputMessage="0" showErrorMessage="0" allowBlank="1" errorTitle="入力できない値です" error="一覧から選んでください" type="list">
      <formula1>"日数,翌月10日,翌月末,1か月後,文言"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/>
  </sheetPr>
  <dimension ref="A1:F50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6" customWidth="1" min="4" max="4"/>
    <col width="70" customWidth="1" min="5" max="5"/>
    <col width="30" customWidth="1" min="6" max="6"/>
  </cols>
  <sheetData>
    <row r="1">
      <c r="A1" s="4" t="inlineStr">
        <is>
          <t>ログ（出力の履歴）</t>
        </is>
      </c>
    </row>
    <row r="2">
      <c r="A2" s="5" t="inlineStr">
        <is>
          <t>マクロが1行ずつ追記する。手で消さない</t>
        </is>
      </c>
    </row>
    <row r="4" ht="22" customHeight="1">
      <c r="A4" s="9" t="inlineStr">
        <is>
          <t>日時</t>
        </is>
      </c>
      <c r="B4" s="9" t="inlineStr">
        <is>
          <t>ユーザー</t>
        </is>
      </c>
      <c r="C4" s="9" t="inlineStr">
        <is>
          <t>届種別</t>
        </is>
      </c>
      <c r="D4" s="9" t="inlineStr">
        <is>
          <t>件数</t>
        </is>
      </c>
      <c r="E4" s="9" t="inlineStr">
        <is>
          <t>ファイル</t>
        </is>
      </c>
      <c r="F4" s="9" t="inlineStr">
        <is>
          <t>結果</t>
        </is>
      </c>
    </row>
    <row r="5">
      <c r="A5" s="30" t="n"/>
    </row>
    <row r="6">
      <c r="A6" s="30" t="n"/>
    </row>
    <row r="7">
      <c r="A7" s="30" t="n"/>
    </row>
    <row r="8">
      <c r="A8" s="30" t="n"/>
    </row>
    <row r="9">
      <c r="A9" s="30" t="n"/>
    </row>
    <row r="10">
      <c r="A10" s="30" t="n"/>
    </row>
    <row r="11">
      <c r="A11" s="30" t="n"/>
    </row>
    <row r="12">
      <c r="A12" s="30" t="n"/>
    </row>
    <row r="13">
      <c r="A13" s="30" t="n"/>
    </row>
    <row r="14">
      <c r="A14" s="30" t="n"/>
    </row>
    <row r="15">
      <c r="A15" s="30" t="n"/>
    </row>
    <row r="16">
      <c r="A16" s="30" t="n"/>
    </row>
    <row r="17">
      <c r="A17" s="30" t="n"/>
    </row>
    <row r="18">
      <c r="A18" s="30" t="n"/>
    </row>
    <row r="19">
      <c r="A19" s="30" t="n"/>
    </row>
    <row r="20">
      <c r="A20" s="30" t="n"/>
    </row>
    <row r="21">
      <c r="A21" s="30" t="n"/>
    </row>
    <row r="22">
      <c r="A22" s="30" t="n"/>
    </row>
    <row r="23">
      <c r="A23" s="30" t="n"/>
    </row>
    <row r="24">
      <c r="A24" s="30" t="n"/>
    </row>
    <row r="25">
      <c r="A25" s="30" t="n"/>
    </row>
    <row r="26">
      <c r="A26" s="30" t="n"/>
    </row>
    <row r="27">
      <c r="A27" s="30" t="n"/>
    </row>
    <row r="28">
      <c r="A28" s="30" t="n"/>
    </row>
    <row r="29">
      <c r="A29" s="30" t="n"/>
    </row>
    <row r="30">
      <c r="A30" s="30" t="n"/>
    </row>
    <row r="31">
      <c r="A31" s="30" t="n"/>
    </row>
    <row r="32">
      <c r="A32" s="30" t="n"/>
    </row>
    <row r="33">
      <c r="A33" s="30" t="n"/>
    </row>
    <row r="34">
      <c r="A34" s="30" t="n"/>
    </row>
    <row r="35">
      <c r="A35" s="30" t="n"/>
    </row>
    <row r="36">
      <c r="A36" s="30" t="n"/>
    </row>
    <row r="37">
      <c r="A37" s="30" t="n"/>
    </row>
    <row r="38">
      <c r="A38" s="30" t="n"/>
    </row>
    <row r="39">
      <c r="A39" s="30" t="n"/>
    </row>
    <row r="40">
      <c r="A40" s="30" t="n"/>
    </row>
    <row r="41">
      <c r="A41" s="30" t="n"/>
    </row>
    <row r="42">
      <c r="A42" s="30" t="n"/>
    </row>
    <row r="43">
      <c r="A43" s="30" t="n"/>
    </row>
    <row r="44">
      <c r="A44" s="30" t="n"/>
    </row>
    <row r="45">
      <c r="A45" s="30" t="n"/>
    </row>
    <row r="46">
      <c r="A46" s="30" t="n"/>
    </row>
    <row r="47">
      <c r="A47" s="30" t="n"/>
    </row>
    <row r="48">
      <c r="A48" s="30" t="n"/>
    </row>
    <row r="49">
      <c r="A49" s="30" t="n"/>
    </row>
    <row r="50">
      <c r="A50" s="30" t="n"/>
    </row>
    <row r="51">
      <c r="A51" s="30" t="n"/>
    </row>
    <row r="52">
      <c r="A52" s="30" t="n"/>
    </row>
    <row r="53">
      <c r="A53" s="30" t="n"/>
    </row>
    <row r="54">
      <c r="A54" s="30" t="n"/>
    </row>
    <row r="55">
      <c r="A55" s="30" t="n"/>
    </row>
    <row r="56">
      <c r="A56" s="30" t="n"/>
    </row>
    <row r="57">
      <c r="A57" s="30" t="n"/>
    </row>
    <row r="58">
      <c r="A58" s="30" t="n"/>
    </row>
    <row r="59">
      <c r="A59" s="30" t="n"/>
    </row>
    <row r="60">
      <c r="A60" s="30" t="n"/>
    </row>
    <row r="61">
      <c r="A61" s="30" t="n"/>
    </row>
    <row r="62">
      <c r="A62" s="30" t="n"/>
    </row>
    <row r="63">
      <c r="A63" s="30" t="n"/>
    </row>
    <row r="64">
      <c r="A64" s="30" t="n"/>
    </row>
    <row r="65">
      <c r="A65" s="30" t="n"/>
    </row>
    <row r="66">
      <c r="A66" s="30" t="n"/>
    </row>
    <row r="67">
      <c r="A67" s="30" t="n"/>
    </row>
    <row r="68">
      <c r="A68" s="30" t="n"/>
    </row>
    <row r="69">
      <c r="A69" s="30" t="n"/>
    </row>
    <row r="70">
      <c r="A70" s="30" t="n"/>
    </row>
    <row r="71">
      <c r="A71" s="30" t="n"/>
    </row>
    <row r="72">
      <c r="A72" s="30" t="n"/>
    </row>
    <row r="73">
      <c r="A73" s="30" t="n"/>
    </row>
    <row r="74">
      <c r="A74" s="30" t="n"/>
    </row>
    <row r="75">
      <c r="A75" s="30" t="n"/>
    </row>
    <row r="76">
      <c r="A76" s="30" t="n"/>
    </row>
    <row r="77">
      <c r="A77" s="30" t="n"/>
    </row>
    <row r="78">
      <c r="A78" s="30" t="n"/>
    </row>
    <row r="79">
      <c r="A79" s="30" t="n"/>
    </row>
    <row r="80">
      <c r="A80" s="30" t="n"/>
    </row>
    <row r="81">
      <c r="A81" s="30" t="n"/>
    </row>
    <row r="82">
      <c r="A82" s="30" t="n"/>
    </row>
    <row r="83">
      <c r="A83" s="30" t="n"/>
    </row>
    <row r="84">
      <c r="A84" s="30" t="n"/>
    </row>
    <row r="85">
      <c r="A85" s="30" t="n"/>
    </row>
    <row r="86">
      <c r="A86" s="30" t="n"/>
    </row>
    <row r="87">
      <c r="A87" s="30" t="n"/>
    </row>
    <row r="88">
      <c r="A88" s="30" t="n"/>
    </row>
    <row r="89">
      <c r="A89" s="30" t="n"/>
    </row>
    <row r="90">
      <c r="A90" s="30" t="n"/>
    </row>
    <row r="91">
      <c r="A91" s="30" t="n"/>
    </row>
    <row r="92">
      <c r="A92" s="30" t="n"/>
    </row>
    <row r="93">
      <c r="A93" s="30" t="n"/>
    </row>
    <row r="94">
      <c r="A94" s="30" t="n"/>
    </row>
    <row r="95">
      <c r="A95" s="30" t="n"/>
    </row>
    <row r="96">
      <c r="A96" s="30" t="n"/>
    </row>
    <row r="97">
      <c r="A97" s="30" t="n"/>
    </row>
    <row r="98">
      <c r="A98" s="30" t="n"/>
    </row>
    <row r="99">
      <c r="A99" s="30" t="n"/>
    </row>
    <row r="100">
      <c r="A100" s="30" t="n"/>
    </row>
    <row r="101">
      <c r="A101" s="30" t="n"/>
    </row>
    <row r="102">
      <c r="A102" s="30" t="n"/>
    </row>
    <row r="103">
      <c r="A103" s="30" t="n"/>
    </row>
    <row r="104">
      <c r="A104" s="30" t="n"/>
    </row>
    <row r="105">
      <c r="A105" s="30" t="n"/>
    </row>
    <row r="106">
      <c r="A106" s="30" t="n"/>
    </row>
    <row r="107">
      <c r="A107" s="30" t="n"/>
    </row>
    <row r="108">
      <c r="A108" s="30" t="n"/>
    </row>
    <row r="109">
      <c r="A109" s="30" t="n"/>
    </row>
    <row r="110">
      <c r="A110" s="30" t="n"/>
    </row>
    <row r="111">
      <c r="A111" s="30" t="n"/>
    </row>
    <row r="112">
      <c r="A112" s="30" t="n"/>
    </row>
    <row r="113">
      <c r="A113" s="30" t="n"/>
    </row>
    <row r="114">
      <c r="A114" s="30" t="n"/>
    </row>
    <row r="115">
      <c r="A115" s="30" t="n"/>
    </row>
    <row r="116">
      <c r="A116" s="30" t="n"/>
    </row>
    <row r="117">
      <c r="A117" s="30" t="n"/>
    </row>
    <row r="118">
      <c r="A118" s="30" t="n"/>
    </row>
    <row r="119">
      <c r="A119" s="30" t="n"/>
    </row>
    <row r="120">
      <c r="A120" s="30" t="n"/>
    </row>
    <row r="121">
      <c r="A121" s="30" t="n"/>
    </row>
    <row r="122">
      <c r="A122" s="30" t="n"/>
    </row>
    <row r="123">
      <c r="A123" s="30" t="n"/>
    </row>
    <row r="124">
      <c r="A124" s="30" t="n"/>
    </row>
    <row r="125">
      <c r="A125" s="30" t="n"/>
    </row>
    <row r="126">
      <c r="A126" s="30" t="n"/>
    </row>
    <row r="127">
      <c r="A127" s="30" t="n"/>
    </row>
    <row r="128">
      <c r="A128" s="30" t="n"/>
    </row>
    <row r="129">
      <c r="A129" s="30" t="n"/>
    </row>
    <row r="130">
      <c r="A130" s="30" t="n"/>
    </row>
    <row r="131">
      <c r="A131" s="30" t="n"/>
    </row>
    <row r="132">
      <c r="A132" s="30" t="n"/>
    </row>
    <row r="133">
      <c r="A133" s="30" t="n"/>
    </row>
    <row r="134">
      <c r="A134" s="30" t="n"/>
    </row>
    <row r="135">
      <c r="A135" s="30" t="n"/>
    </row>
    <row r="136">
      <c r="A136" s="30" t="n"/>
    </row>
    <row r="137">
      <c r="A137" s="30" t="n"/>
    </row>
    <row r="138">
      <c r="A138" s="30" t="n"/>
    </row>
    <row r="139">
      <c r="A139" s="30" t="n"/>
    </row>
    <row r="140">
      <c r="A140" s="30" t="n"/>
    </row>
    <row r="141">
      <c r="A141" s="30" t="n"/>
    </row>
    <row r="142">
      <c r="A142" s="30" t="n"/>
    </row>
    <row r="143">
      <c r="A143" s="30" t="n"/>
    </row>
    <row r="144">
      <c r="A144" s="30" t="n"/>
    </row>
    <row r="145">
      <c r="A145" s="30" t="n"/>
    </row>
    <row r="146">
      <c r="A146" s="30" t="n"/>
    </row>
    <row r="147">
      <c r="A147" s="30" t="n"/>
    </row>
    <row r="148">
      <c r="A148" s="30" t="n"/>
    </row>
    <row r="149">
      <c r="A149" s="30" t="n"/>
    </row>
    <row r="150">
      <c r="A150" s="30" t="n"/>
    </row>
    <row r="151">
      <c r="A151" s="30" t="n"/>
    </row>
    <row r="152">
      <c r="A152" s="30" t="n"/>
    </row>
    <row r="153">
      <c r="A153" s="30" t="n"/>
    </row>
    <row r="154">
      <c r="A154" s="30" t="n"/>
    </row>
    <row r="155">
      <c r="A155" s="30" t="n"/>
    </row>
    <row r="156">
      <c r="A156" s="30" t="n"/>
    </row>
    <row r="157">
      <c r="A157" s="30" t="n"/>
    </row>
    <row r="158">
      <c r="A158" s="30" t="n"/>
    </row>
    <row r="159">
      <c r="A159" s="30" t="n"/>
    </row>
    <row r="160">
      <c r="A160" s="30" t="n"/>
    </row>
    <row r="161">
      <c r="A161" s="30" t="n"/>
    </row>
    <row r="162">
      <c r="A162" s="30" t="n"/>
    </row>
    <row r="163">
      <c r="A163" s="30" t="n"/>
    </row>
    <row r="164">
      <c r="A164" s="30" t="n"/>
    </row>
    <row r="165">
      <c r="A165" s="30" t="n"/>
    </row>
    <row r="166">
      <c r="A166" s="30" t="n"/>
    </row>
    <row r="167">
      <c r="A167" s="30" t="n"/>
    </row>
    <row r="168">
      <c r="A168" s="30" t="n"/>
    </row>
    <row r="169">
      <c r="A169" s="30" t="n"/>
    </row>
    <row r="170">
      <c r="A170" s="30" t="n"/>
    </row>
    <row r="171">
      <c r="A171" s="30" t="n"/>
    </row>
    <row r="172">
      <c r="A172" s="30" t="n"/>
    </row>
    <row r="173">
      <c r="A173" s="30" t="n"/>
    </row>
    <row r="174">
      <c r="A174" s="30" t="n"/>
    </row>
    <row r="175">
      <c r="A175" s="30" t="n"/>
    </row>
    <row r="176">
      <c r="A176" s="30" t="n"/>
    </row>
    <row r="177">
      <c r="A177" s="30" t="n"/>
    </row>
    <row r="178">
      <c r="A178" s="30" t="n"/>
    </row>
    <row r="179">
      <c r="A179" s="30" t="n"/>
    </row>
    <row r="180">
      <c r="A180" s="30" t="n"/>
    </row>
    <row r="181">
      <c r="A181" s="30" t="n"/>
    </row>
    <row r="182">
      <c r="A182" s="30" t="n"/>
    </row>
    <row r="183">
      <c r="A183" s="30" t="n"/>
    </row>
    <row r="184">
      <c r="A184" s="30" t="n"/>
    </row>
    <row r="185">
      <c r="A185" s="30" t="n"/>
    </row>
    <row r="186">
      <c r="A186" s="30" t="n"/>
    </row>
    <row r="187">
      <c r="A187" s="30" t="n"/>
    </row>
    <row r="188">
      <c r="A188" s="30" t="n"/>
    </row>
    <row r="189">
      <c r="A189" s="30" t="n"/>
    </row>
    <row r="190">
      <c r="A190" s="30" t="n"/>
    </row>
    <row r="191">
      <c r="A191" s="30" t="n"/>
    </row>
    <row r="192">
      <c r="A192" s="30" t="n"/>
    </row>
    <row r="193">
      <c r="A193" s="30" t="n"/>
    </row>
    <row r="194">
      <c r="A194" s="30" t="n"/>
    </row>
    <row r="195">
      <c r="A195" s="30" t="n"/>
    </row>
    <row r="196">
      <c r="A196" s="30" t="n"/>
    </row>
    <row r="197">
      <c r="A197" s="30" t="n"/>
    </row>
    <row r="198">
      <c r="A198" s="30" t="n"/>
    </row>
    <row r="199">
      <c r="A199" s="30" t="n"/>
    </row>
    <row r="200">
      <c r="A200" s="30" t="n"/>
    </row>
    <row r="201">
      <c r="A201" s="30" t="n"/>
    </row>
    <row r="202">
      <c r="A202" s="30" t="n"/>
    </row>
    <row r="203">
      <c r="A203" s="30" t="n"/>
    </row>
    <row r="204">
      <c r="A204" s="30" t="n"/>
    </row>
    <row r="205">
      <c r="A205" s="30" t="n"/>
    </row>
    <row r="206">
      <c r="A206" s="30" t="n"/>
    </row>
    <row r="207">
      <c r="A207" s="30" t="n"/>
    </row>
    <row r="208">
      <c r="A208" s="30" t="n"/>
    </row>
    <row r="209">
      <c r="A209" s="30" t="n"/>
    </row>
    <row r="210">
      <c r="A210" s="30" t="n"/>
    </row>
    <row r="211">
      <c r="A211" s="30" t="n"/>
    </row>
    <row r="212">
      <c r="A212" s="30" t="n"/>
    </row>
    <row r="213">
      <c r="A213" s="30" t="n"/>
    </row>
    <row r="214">
      <c r="A214" s="30" t="n"/>
    </row>
    <row r="215">
      <c r="A215" s="30" t="n"/>
    </row>
    <row r="216">
      <c r="A216" s="30" t="n"/>
    </row>
    <row r="217">
      <c r="A217" s="30" t="n"/>
    </row>
    <row r="218">
      <c r="A218" s="30" t="n"/>
    </row>
    <row r="219">
      <c r="A219" s="30" t="n"/>
    </row>
    <row r="220">
      <c r="A220" s="30" t="n"/>
    </row>
    <row r="221">
      <c r="A221" s="30" t="n"/>
    </row>
    <row r="222">
      <c r="A222" s="30" t="n"/>
    </row>
    <row r="223">
      <c r="A223" s="30" t="n"/>
    </row>
    <row r="224">
      <c r="A224" s="30" t="n"/>
    </row>
    <row r="225">
      <c r="A225" s="30" t="n"/>
    </row>
    <row r="226">
      <c r="A226" s="30" t="n"/>
    </row>
    <row r="227">
      <c r="A227" s="30" t="n"/>
    </row>
    <row r="228">
      <c r="A228" s="30" t="n"/>
    </row>
    <row r="229">
      <c r="A229" s="30" t="n"/>
    </row>
    <row r="230">
      <c r="A230" s="30" t="n"/>
    </row>
    <row r="231">
      <c r="A231" s="30" t="n"/>
    </row>
    <row r="232">
      <c r="A232" s="30" t="n"/>
    </row>
    <row r="233">
      <c r="A233" s="30" t="n"/>
    </row>
    <row r="234">
      <c r="A234" s="30" t="n"/>
    </row>
    <row r="235">
      <c r="A235" s="30" t="n"/>
    </row>
    <row r="236">
      <c r="A236" s="30" t="n"/>
    </row>
    <row r="237">
      <c r="A237" s="30" t="n"/>
    </row>
    <row r="238">
      <c r="A238" s="30" t="n"/>
    </row>
    <row r="239">
      <c r="A239" s="30" t="n"/>
    </row>
    <row r="240">
      <c r="A240" s="30" t="n"/>
    </row>
    <row r="241">
      <c r="A241" s="30" t="n"/>
    </row>
    <row r="242">
      <c r="A242" s="30" t="n"/>
    </row>
    <row r="243">
      <c r="A243" s="30" t="n"/>
    </row>
    <row r="244">
      <c r="A244" s="30" t="n"/>
    </row>
    <row r="245">
      <c r="A245" s="30" t="n"/>
    </row>
    <row r="246">
      <c r="A246" s="30" t="n"/>
    </row>
    <row r="247">
      <c r="A247" s="30" t="n"/>
    </row>
    <row r="248">
      <c r="A248" s="30" t="n"/>
    </row>
    <row r="249">
      <c r="A249" s="30" t="n"/>
    </row>
    <row r="250">
      <c r="A250" s="30" t="n"/>
    </row>
    <row r="251">
      <c r="A251" s="30" t="n"/>
    </row>
    <row r="252">
      <c r="A252" s="30" t="n"/>
    </row>
    <row r="253">
      <c r="A253" s="30" t="n"/>
    </row>
    <row r="254">
      <c r="A254" s="30" t="n"/>
    </row>
    <row r="255">
      <c r="A255" s="30" t="n"/>
    </row>
    <row r="256">
      <c r="A256" s="30" t="n"/>
    </row>
    <row r="257">
      <c r="A257" s="30" t="n"/>
    </row>
    <row r="258">
      <c r="A258" s="30" t="n"/>
    </row>
    <row r="259">
      <c r="A259" s="30" t="n"/>
    </row>
    <row r="260">
      <c r="A260" s="30" t="n"/>
    </row>
    <row r="261">
      <c r="A261" s="30" t="n"/>
    </row>
    <row r="262">
      <c r="A262" s="30" t="n"/>
    </row>
    <row r="263">
      <c r="A263" s="30" t="n"/>
    </row>
    <row r="264">
      <c r="A264" s="30" t="n"/>
    </row>
    <row r="265">
      <c r="A265" s="30" t="n"/>
    </row>
    <row r="266">
      <c r="A266" s="30" t="n"/>
    </row>
    <row r="267">
      <c r="A267" s="30" t="n"/>
    </row>
    <row r="268">
      <c r="A268" s="30" t="n"/>
    </row>
    <row r="269">
      <c r="A269" s="30" t="n"/>
    </row>
    <row r="270">
      <c r="A270" s="30" t="n"/>
    </row>
    <row r="271">
      <c r="A271" s="30" t="n"/>
    </row>
    <row r="272">
      <c r="A272" s="30" t="n"/>
    </row>
    <row r="273">
      <c r="A273" s="30" t="n"/>
    </row>
    <row r="274">
      <c r="A274" s="30" t="n"/>
    </row>
    <row r="275">
      <c r="A275" s="30" t="n"/>
    </row>
    <row r="276">
      <c r="A276" s="30" t="n"/>
    </row>
    <row r="277">
      <c r="A277" s="30" t="n"/>
    </row>
    <row r="278">
      <c r="A278" s="30" t="n"/>
    </row>
    <row r="279">
      <c r="A279" s="30" t="n"/>
    </row>
    <row r="280">
      <c r="A280" s="30" t="n"/>
    </row>
    <row r="281">
      <c r="A281" s="30" t="n"/>
    </row>
    <row r="282">
      <c r="A282" s="30" t="n"/>
    </row>
    <row r="283">
      <c r="A283" s="30" t="n"/>
    </row>
    <row r="284">
      <c r="A284" s="30" t="n"/>
    </row>
    <row r="285">
      <c r="A285" s="30" t="n"/>
    </row>
    <row r="286">
      <c r="A286" s="30" t="n"/>
    </row>
    <row r="287">
      <c r="A287" s="30" t="n"/>
    </row>
    <row r="288">
      <c r="A288" s="30" t="n"/>
    </row>
    <row r="289">
      <c r="A289" s="30" t="n"/>
    </row>
    <row r="290">
      <c r="A290" s="30" t="n"/>
    </row>
    <row r="291">
      <c r="A291" s="30" t="n"/>
    </row>
    <row r="292">
      <c r="A292" s="30" t="n"/>
    </row>
    <row r="293">
      <c r="A293" s="30" t="n"/>
    </row>
    <row r="294">
      <c r="A294" s="30" t="n"/>
    </row>
    <row r="295">
      <c r="A295" s="30" t="n"/>
    </row>
    <row r="296">
      <c r="A296" s="30" t="n"/>
    </row>
    <row r="297">
      <c r="A297" s="30" t="n"/>
    </row>
    <row r="298">
      <c r="A298" s="30" t="n"/>
    </row>
    <row r="299">
      <c r="A299" s="30" t="n"/>
    </row>
    <row r="300">
      <c r="A300" s="30" t="n"/>
    </row>
    <row r="301">
      <c r="A301" s="30" t="n"/>
    </row>
    <row r="302">
      <c r="A302" s="30" t="n"/>
    </row>
    <row r="303">
      <c r="A303" s="30" t="n"/>
    </row>
    <row r="304">
      <c r="A304" s="30" t="n"/>
    </row>
    <row r="305">
      <c r="A305" s="30" t="n"/>
    </row>
    <row r="306">
      <c r="A306" s="30" t="n"/>
    </row>
    <row r="307">
      <c r="A307" s="30" t="n"/>
    </row>
    <row r="308">
      <c r="A308" s="30" t="n"/>
    </row>
    <row r="309">
      <c r="A309" s="30" t="n"/>
    </row>
    <row r="310">
      <c r="A310" s="30" t="n"/>
    </row>
    <row r="311">
      <c r="A311" s="30" t="n"/>
    </row>
    <row r="312">
      <c r="A312" s="30" t="n"/>
    </row>
    <row r="313">
      <c r="A313" s="30" t="n"/>
    </row>
    <row r="314">
      <c r="A314" s="30" t="n"/>
    </row>
    <row r="315">
      <c r="A315" s="30" t="n"/>
    </row>
    <row r="316">
      <c r="A316" s="30" t="n"/>
    </row>
    <row r="317">
      <c r="A317" s="30" t="n"/>
    </row>
    <row r="318">
      <c r="A318" s="30" t="n"/>
    </row>
    <row r="319">
      <c r="A319" s="30" t="n"/>
    </row>
    <row r="320">
      <c r="A320" s="30" t="n"/>
    </row>
    <row r="321">
      <c r="A321" s="30" t="n"/>
    </row>
    <row r="322">
      <c r="A322" s="30" t="n"/>
    </row>
    <row r="323">
      <c r="A323" s="30" t="n"/>
    </row>
    <row r="324">
      <c r="A324" s="30" t="n"/>
    </row>
    <row r="325">
      <c r="A325" s="30" t="n"/>
    </row>
    <row r="326">
      <c r="A326" s="30" t="n"/>
    </row>
    <row r="327">
      <c r="A327" s="30" t="n"/>
    </row>
    <row r="328">
      <c r="A328" s="30" t="n"/>
    </row>
    <row r="329">
      <c r="A329" s="30" t="n"/>
    </row>
    <row r="330">
      <c r="A330" s="30" t="n"/>
    </row>
    <row r="331">
      <c r="A331" s="30" t="n"/>
    </row>
    <row r="332">
      <c r="A332" s="30" t="n"/>
    </row>
    <row r="333">
      <c r="A333" s="30" t="n"/>
    </row>
    <row r="334">
      <c r="A334" s="30" t="n"/>
    </row>
    <row r="335">
      <c r="A335" s="30" t="n"/>
    </row>
    <row r="336">
      <c r="A336" s="30" t="n"/>
    </row>
    <row r="337">
      <c r="A337" s="30" t="n"/>
    </row>
    <row r="338">
      <c r="A338" s="30" t="n"/>
    </row>
    <row r="339">
      <c r="A339" s="30" t="n"/>
    </row>
    <row r="340">
      <c r="A340" s="30" t="n"/>
    </row>
    <row r="341">
      <c r="A341" s="30" t="n"/>
    </row>
    <row r="342">
      <c r="A342" s="30" t="n"/>
    </row>
    <row r="343">
      <c r="A343" s="30" t="n"/>
    </row>
    <row r="344">
      <c r="A344" s="30" t="n"/>
    </row>
    <row r="345">
      <c r="A345" s="30" t="n"/>
    </row>
    <row r="346">
      <c r="A346" s="30" t="n"/>
    </row>
    <row r="347">
      <c r="A347" s="30" t="n"/>
    </row>
    <row r="348">
      <c r="A348" s="30" t="n"/>
    </row>
    <row r="349">
      <c r="A349" s="30" t="n"/>
    </row>
    <row r="350">
      <c r="A350" s="30" t="n"/>
    </row>
    <row r="351">
      <c r="A351" s="30" t="n"/>
    </row>
    <row r="352">
      <c r="A352" s="30" t="n"/>
    </row>
    <row r="353">
      <c r="A353" s="30" t="n"/>
    </row>
    <row r="354">
      <c r="A354" s="30" t="n"/>
    </row>
    <row r="355">
      <c r="A355" s="30" t="n"/>
    </row>
    <row r="356">
      <c r="A356" s="30" t="n"/>
    </row>
    <row r="357">
      <c r="A357" s="30" t="n"/>
    </row>
    <row r="358">
      <c r="A358" s="30" t="n"/>
    </row>
    <row r="359">
      <c r="A359" s="30" t="n"/>
    </row>
    <row r="360">
      <c r="A360" s="30" t="n"/>
    </row>
    <row r="361">
      <c r="A361" s="30" t="n"/>
    </row>
    <row r="362">
      <c r="A362" s="30" t="n"/>
    </row>
    <row r="363">
      <c r="A363" s="30" t="n"/>
    </row>
    <row r="364">
      <c r="A364" s="30" t="n"/>
    </row>
    <row r="365">
      <c r="A365" s="30" t="n"/>
    </row>
    <row r="366">
      <c r="A366" s="30" t="n"/>
    </row>
    <row r="367">
      <c r="A367" s="30" t="n"/>
    </row>
    <row r="368">
      <c r="A368" s="30" t="n"/>
    </row>
    <row r="369">
      <c r="A369" s="30" t="n"/>
    </row>
    <row r="370">
      <c r="A370" s="30" t="n"/>
    </row>
    <row r="371">
      <c r="A371" s="30" t="n"/>
    </row>
    <row r="372">
      <c r="A372" s="30" t="n"/>
    </row>
    <row r="373">
      <c r="A373" s="30" t="n"/>
    </row>
    <row r="374">
      <c r="A374" s="30" t="n"/>
    </row>
    <row r="375">
      <c r="A375" s="30" t="n"/>
    </row>
    <row r="376">
      <c r="A376" s="30" t="n"/>
    </row>
    <row r="377">
      <c r="A377" s="30" t="n"/>
    </row>
    <row r="378">
      <c r="A378" s="30" t="n"/>
    </row>
    <row r="379">
      <c r="A379" s="30" t="n"/>
    </row>
    <row r="380">
      <c r="A380" s="30" t="n"/>
    </row>
    <row r="381">
      <c r="A381" s="30" t="n"/>
    </row>
    <row r="382">
      <c r="A382" s="30" t="n"/>
    </row>
    <row r="383">
      <c r="A383" s="30" t="n"/>
    </row>
    <row r="384">
      <c r="A384" s="30" t="n"/>
    </row>
    <row r="385">
      <c r="A385" s="30" t="n"/>
    </row>
    <row r="386">
      <c r="A386" s="30" t="n"/>
    </row>
    <row r="387">
      <c r="A387" s="30" t="n"/>
    </row>
    <row r="388">
      <c r="A388" s="30" t="n"/>
    </row>
    <row r="389">
      <c r="A389" s="30" t="n"/>
    </row>
    <row r="390">
      <c r="A390" s="30" t="n"/>
    </row>
    <row r="391">
      <c r="A391" s="30" t="n"/>
    </row>
    <row r="392">
      <c r="A392" s="30" t="n"/>
    </row>
    <row r="393">
      <c r="A393" s="30" t="n"/>
    </row>
    <row r="394">
      <c r="A394" s="30" t="n"/>
    </row>
    <row r="395">
      <c r="A395" s="30" t="n"/>
    </row>
    <row r="396">
      <c r="A396" s="30" t="n"/>
    </row>
    <row r="397">
      <c r="A397" s="30" t="n"/>
    </row>
    <row r="398">
      <c r="A398" s="30" t="n"/>
    </row>
    <row r="399">
      <c r="A399" s="30" t="n"/>
    </row>
    <row r="400">
      <c r="A400" s="30" t="n"/>
    </row>
    <row r="401">
      <c r="A401" s="30" t="n"/>
    </row>
    <row r="402">
      <c r="A402" s="30" t="n"/>
    </row>
    <row r="403">
      <c r="A403" s="30" t="n"/>
    </row>
    <row r="404">
      <c r="A404" s="30" t="n"/>
    </row>
    <row r="405">
      <c r="A405" s="30" t="n"/>
    </row>
    <row r="406">
      <c r="A406" s="30" t="n"/>
    </row>
    <row r="407">
      <c r="A407" s="30" t="n"/>
    </row>
    <row r="408">
      <c r="A408" s="30" t="n"/>
    </row>
    <row r="409">
      <c r="A409" s="30" t="n"/>
    </row>
    <row r="410">
      <c r="A410" s="30" t="n"/>
    </row>
    <row r="411">
      <c r="A411" s="30" t="n"/>
    </row>
    <row r="412">
      <c r="A412" s="30" t="n"/>
    </row>
    <row r="413">
      <c r="A413" s="30" t="n"/>
    </row>
    <row r="414">
      <c r="A414" s="30" t="n"/>
    </row>
    <row r="415">
      <c r="A415" s="30" t="n"/>
    </row>
    <row r="416">
      <c r="A416" s="30" t="n"/>
    </row>
    <row r="417">
      <c r="A417" s="30" t="n"/>
    </row>
    <row r="418">
      <c r="A418" s="30" t="n"/>
    </row>
    <row r="419">
      <c r="A419" s="30" t="n"/>
    </row>
    <row r="420">
      <c r="A420" s="30" t="n"/>
    </row>
    <row r="421">
      <c r="A421" s="30" t="n"/>
    </row>
    <row r="422">
      <c r="A422" s="30" t="n"/>
    </row>
    <row r="423">
      <c r="A423" s="30" t="n"/>
    </row>
    <row r="424">
      <c r="A424" s="30" t="n"/>
    </row>
    <row r="425">
      <c r="A425" s="30" t="n"/>
    </row>
    <row r="426">
      <c r="A426" s="30" t="n"/>
    </row>
    <row r="427">
      <c r="A427" s="30" t="n"/>
    </row>
    <row r="428">
      <c r="A428" s="30" t="n"/>
    </row>
    <row r="429">
      <c r="A429" s="30" t="n"/>
    </row>
    <row r="430">
      <c r="A430" s="30" t="n"/>
    </row>
    <row r="431">
      <c r="A431" s="30" t="n"/>
    </row>
    <row r="432">
      <c r="A432" s="30" t="n"/>
    </row>
    <row r="433">
      <c r="A433" s="30" t="n"/>
    </row>
    <row r="434">
      <c r="A434" s="30" t="n"/>
    </row>
    <row r="435">
      <c r="A435" s="30" t="n"/>
    </row>
    <row r="436">
      <c r="A436" s="30" t="n"/>
    </row>
    <row r="437">
      <c r="A437" s="30" t="n"/>
    </row>
    <row r="438">
      <c r="A438" s="30" t="n"/>
    </row>
    <row r="439">
      <c r="A439" s="30" t="n"/>
    </row>
    <row r="440">
      <c r="A440" s="30" t="n"/>
    </row>
    <row r="441">
      <c r="A441" s="30" t="n"/>
    </row>
    <row r="442">
      <c r="A442" s="30" t="n"/>
    </row>
    <row r="443">
      <c r="A443" s="30" t="n"/>
    </row>
    <row r="444">
      <c r="A444" s="30" t="n"/>
    </row>
    <row r="445">
      <c r="A445" s="30" t="n"/>
    </row>
    <row r="446">
      <c r="A446" s="30" t="n"/>
    </row>
    <row r="447">
      <c r="A447" s="30" t="n"/>
    </row>
    <row r="448">
      <c r="A448" s="30" t="n"/>
    </row>
    <row r="449">
      <c r="A449" s="30" t="n"/>
    </row>
    <row r="450">
      <c r="A450" s="30" t="n"/>
    </row>
    <row r="451">
      <c r="A451" s="30" t="n"/>
    </row>
    <row r="452">
      <c r="A452" s="30" t="n"/>
    </row>
    <row r="453">
      <c r="A453" s="30" t="n"/>
    </row>
    <row r="454">
      <c r="A454" s="30" t="n"/>
    </row>
    <row r="455">
      <c r="A455" s="30" t="n"/>
    </row>
    <row r="456">
      <c r="A456" s="30" t="n"/>
    </row>
    <row r="457">
      <c r="A457" s="30" t="n"/>
    </row>
    <row r="458">
      <c r="A458" s="30" t="n"/>
    </row>
    <row r="459">
      <c r="A459" s="30" t="n"/>
    </row>
    <row r="460">
      <c r="A460" s="30" t="n"/>
    </row>
    <row r="461">
      <c r="A461" s="30" t="n"/>
    </row>
    <row r="462">
      <c r="A462" s="30" t="n"/>
    </row>
    <row r="463">
      <c r="A463" s="30" t="n"/>
    </row>
    <row r="464">
      <c r="A464" s="30" t="n"/>
    </row>
    <row r="465">
      <c r="A465" s="30" t="n"/>
    </row>
    <row r="466">
      <c r="A466" s="30" t="n"/>
    </row>
    <row r="467">
      <c r="A467" s="30" t="n"/>
    </row>
    <row r="468">
      <c r="A468" s="30" t="n"/>
    </row>
    <row r="469">
      <c r="A469" s="30" t="n"/>
    </row>
    <row r="470">
      <c r="A470" s="30" t="n"/>
    </row>
    <row r="471">
      <c r="A471" s="30" t="n"/>
    </row>
    <row r="472">
      <c r="A472" s="30" t="n"/>
    </row>
    <row r="473">
      <c r="A473" s="30" t="n"/>
    </row>
    <row r="474">
      <c r="A474" s="30" t="n"/>
    </row>
    <row r="475">
      <c r="A475" s="30" t="n"/>
    </row>
    <row r="476">
      <c r="A476" s="30" t="n"/>
    </row>
    <row r="477">
      <c r="A477" s="30" t="n"/>
    </row>
    <row r="478">
      <c r="A478" s="30" t="n"/>
    </row>
    <row r="479">
      <c r="A479" s="30" t="n"/>
    </row>
    <row r="480">
      <c r="A480" s="30" t="n"/>
    </row>
    <row r="481">
      <c r="A481" s="30" t="n"/>
    </row>
    <row r="482">
      <c r="A482" s="30" t="n"/>
    </row>
    <row r="483">
      <c r="A483" s="30" t="n"/>
    </row>
    <row r="484">
      <c r="A484" s="30" t="n"/>
    </row>
    <row r="485">
      <c r="A485" s="30" t="n"/>
    </row>
    <row r="486">
      <c r="A486" s="30" t="n"/>
    </row>
    <row r="487">
      <c r="A487" s="30" t="n"/>
    </row>
    <row r="488">
      <c r="A488" s="30" t="n"/>
    </row>
    <row r="489">
      <c r="A489" s="30" t="n"/>
    </row>
    <row r="490">
      <c r="A490" s="30" t="n"/>
    </row>
    <row r="491">
      <c r="A491" s="30" t="n"/>
    </row>
    <row r="492">
      <c r="A492" s="30" t="n"/>
    </row>
    <row r="493">
      <c r="A493" s="30" t="n"/>
    </row>
    <row r="494">
      <c r="A494" s="30" t="n"/>
    </row>
    <row r="495">
      <c r="A495" s="30" t="n"/>
    </row>
    <row r="496">
      <c r="A496" s="30" t="n"/>
    </row>
    <row r="497">
      <c r="A497" s="30" t="n"/>
    </row>
    <row r="498">
      <c r="A498" s="30" t="n"/>
    </row>
    <row r="499">
      <c r="A499" s="30" t="n"/>
    </row>
    <row r="500">
      <c r="A500" s="30" t="n"/>
    </row>
    <row r="501">
      <c r="A501" s="30" t="n"/>
    </row>
    <row r="502">
      <c r="A502" s="30" t="n"/>
    </row>
    <row r="503">
      <c r="A503" s="30" t="n"/>
    </row>
    <row r="504">
      <c r="A504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90" customWidth="1" min="4" max="4"/>
  </cols>
  <sheetData>
    <row r="1">
      <c r="A1" s="4" t="inlineStr">
        <is>
          <t>変更履歴</t>
        </is>
      </c>
    </row>
    <row r="3" ht="22" customHeight="1">
      <c r="A3" s="9" t="inlineStr">
        <is>
          <t>版</t>
        </is>
      </c>
      <c r="B3" s="9" t="inlineStr">
        <is>
          <t>日付</t>
        </is>
      </c>
      <c r="C3" s="9" t="inlineStr">
        <is>
          <t>変更者</t>
        </is>
      </c>
      <c r="D3" s="9" t="inlineStr">
        <is>
          <t>変更内容</t>
        </is>
      </c>
    </row>
    <row r="4">
      <c r="A4" t="inlineStr">
        <is>
          <t>v1.0</t>
        </is>
      </c>
      <c r="B4" t="inlineStr">
        <is>
          <t>2026-10-29</t>
        </is>
      </c>
      <c r="C4" t="inlineStr">
        <is>
          <t>（作成）</t>
        </is>
      </c>
      <c r="D4" t="inlineStr">
        <is>
          <t>初版。チェックリスト（数式）、社保取得・喪失CSV、雇保取得・喪失の転記一覧。レイアウト定義の届書コード等はCSV仕様書で要確認（確定＝未）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2026-10-29T12:43:51Z</dcterms:created>
  <dcterms:modified xmlns:dcterms="http://purl.org/dc/terms/" xmlns:xsi="http://www.w3.org/2001/XMLSchema-instance" xsi:type="dcterms:W3CDTF">2026-10-29T12:43:52Z</dcterms:modified>
</cp:coreProperties>
</file>